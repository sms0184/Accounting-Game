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sarahsessions/Documents/GitHub/Accounting-Game/public/assets/"/>
    </mc:Choice>
  </mc:AlternateContent>
  <xr:revisionPtr revIDLastSave="0" documentId="13_ncr:1_{F4ACB5BF-0B68-AD47-9620-F4006B79F0BE}" xr6:coauthVersionLast="47" xr6:coauthVersionMax="47" xr10:uidLastSave="{00000000-0000-0000-0000-000000000000}"/>
  <bookViews>
    <workbookView xWindow="14700" yWindow="760" windowWidth="14700" windowHeight="16940" firstSheet="12" activeTab="12" xr2:uid="{922BA294-4DCC-45B5-8780-647AD84B5699}"/>
  </bookViews>
  <sheets>
    <sheet name="All" sheetId="1" r:id="rId1"/>
    <sheet name="All - Tutorial" sheetId="17" r:id="rId2"/>
    <sheet name="BS Easy" sheetId="7" r:id="rId3"/>
    <sheet name="BS Medium" sheetId="8" r:id="rId4"/>
    <sheet name="BS Hard" sheetId="9" r:id="rId5"/>
    <sheet name="IS Easy" sheetId="10" r:id="rId6"/>
    <sheet name="IS Medium" sheetId="11" r:id="rId7"/>
    <sheet name="IS Hard" sheetId="12" r:id="rId8"/>
    <sheet name="Normal Balance - All" sheetId="21" r:id="rId9"/>
    <sheet name="Normal Balance Easy" sheetId="14" r:id="rId10"/>
    <sheet name="Normal Balance Medium" sheetId="15" r:id="rId11"/>
    <sheet name="Normal Balance Hard" sheetId="16" r:id="rId12"/>
    <sheet name="A=L+SE - Easy" sheetId="18" r:id="rId13"/>
    <sheet name="A=L+SE - Medium" sheetId="19" r:id="rId14"/>
    <sheet name="A=L+SE - Hard" sheetId="20" r:id="rId15"/>
  </sheets>
  <definedNames>
    <definedName name="_xlnm.Print_Area" localSheetId="0">All!$A$1:$E$43</definedName>
    <definedName name="_xlnm.Print_Area" localSheetId="1">'All - Tutorial'!$A$1:$E$43</definedName>
    <definedName name="_xlnm.Print_Area" localSheetId="2">'BS Easy'!$A$1:$C$43</definedName>
    <definedName name="_xlnm.Print_Area" localSheetId="4">'BS Hard'!$A$1:$C$43</definedName>
    <definedName name="_xlnm.Print_Area" localSheetId="3">'BS Medium'!$A$1:$C$43</definedName>
    <definedName name="_xlnm.Print_Area" localSheetId="5">'IS Easy'!$A$1:$B$42</definedName>
    <definedName name="_xlnm.Print_Area" localSheetId="7">'IS Hard'!$A$1:$B$43</definedName>
    <definedName name="_xlnm.Print_Area" localSheetId="6">'IS Medium'!$A$1:$B$43</definedName>
    <definedName name="_xlnm.Print_Area" localSheetId="9">'Normal Balance Easy'!#REF!</definedName>
    <definedName name="_xlnm.Print_Area" localSheetId="11">'Normal Balance Hard'!#REF!</definedName>
    <definedName name="_xlnm.Print_Area" localSheetId="10">'Normal Balance Medium'!#REF!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7" l="1"/>
  <c r="C45" i="17"/>
  <c r="C47" i="17"/>
  <c r="C10" i="17"/>
  <c r="B19" i="17"/>
  <c r="B20" i="17"/>
  <c r="B47" i="17"/>
  <c r="C67" i="17"/>
  <c r="C68" i="17"/>
  <c r="C69" i="17"/>
  <c r="D3" i="17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" i="17"/>
  <c r="C2" i="17"/>
  <c r="C4" i="17"/>
  <c r="C5" i="17"/>
  <c r="C6" i="17"/>
  <c r="C7" i="17"/>
  <c r="C8" i="17"/>
  <c r="C9" i="17"/>
  <c r="C11" i="17"/>
  <c r="C12" i="17"/>
  <c r="C13" i="17"/>
  <c r="C14" i="17"/>
  <c r="C15" i="17"/>
  <c r="C16" i="17"/>
  <c r="C17" i="17"/>
  <c r="C18" i="17"/>
  <c r="C19" i="17"/>
  <c r="C20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6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3" i="17"/>
  <c r="E3" i="17"/>
  <c r="E4" i="17"/>
  <c r="E5" i="17"/>
  <c r="E6" i="17"/>
  <c r="E7" i="17"/>
  <c r="E8" i="17"/>
  <c r="E9" i="17"/>
  <c r="E10" i="17"/>
  <c r="E11" i="17"/>
  <c r="E12" i="17"/>
  <c r="E13" i="17"/>
  <c r="E2" i="17"/>
  <c r="B3" i="17"/>
  <c r="B4" i="17"/>
  <c r="B5" i="17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46" i="17"/>
  <c r="B48" i="17"/>
  <c r="B49" i="17"/>
  <c r="B50" i="17"/>
  <c r="B51" i="17"/>
  <c r="B52" i="17"/>
  <c r="B53" i="17"/>
  <c r="B54" i="17"/>
  <c r="B55" i="17"/>
  <c r="B56" i="17"/>
  <c r="B57" i="17"/>
  <c r="B58" i="17"/>
  <c r="B2" i="17"/>
  <c r="A40" i="17"/>
  <c r="A41" i="17"/>
  <c r="A42" i="17"/>
  <c r="A43" i="17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A59" i="17"/>
  <c r="A60" i="17"/>
  <c r="A3" i="17"/>
  <c r="A4" i="17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2" i="17"/>
</calcChain>
</file>

<file path=xl/sharedStrings.xml><?xml version="1.0" encoding="utf-8"?>
<sst xmlns="http://schemas.openxmlformats.org/spreadsheetml/2006/main" count="1405" uniqueCount="401">
  <si>
    <t>Assets</t>
  </si>
  <si>
    <t>Liabilities</t>
  </si>
  <si>
    <t>Expenses/Losses</t>
  </si>
  <si>
    <t>Revenues/Gains</t>
  </si>
  <si>
    <t>Stockholders Equity</t>
  </si>
  <si>
    <t>Accounts Receivable</t>
  </si>
  <si>
    <t>Accounts Payable</t>
  </si>
  <si>
    <t>Accounting Fees</t>
  </si>
  <si>
    <t>Advertising Earnings</t>
  </si>
  <si>
    <t>Accumulated Other Comprehenseive Income</t>
  </si>
  <si>
    <t>Accumulated Depletion</t>
  </si>
  <si>
    <t>Accrued Interest</t>
  </si>
  <si>
    <t>Advertising Fees</t>
  </si>
  <si>
    <t>Commission Receipts</t>
  </si>
  <si>
    <t>Accumulated Profits</t>
  </si>
  <si>
    <t>Accumulated Depreciation</t>
  </si>
  <si>
    <t>Accrued Rent</t>
  </si>
  <si>
    <t>Amortization Costs</t>
  </si>
  <si>
    <t>Dividend Earnings</t>
  </si>
  <si>
    <t>Additional Paid in Capital - Common Stock</t>
  </si>
  <si>
    <t>Advances to Officers, Directors, and Employees</t>
  </si>
  <si>
    <t>Accrued Salaries</t>
  </si>
  <si>
    <t>Artist Fees</t>
  </si>
  <si>
    <t>Foreign Exchange Gains</t>
  </si>
  <si>
    <t>Additional Paid in Capital - Preferred Stock</t>
  </si>
  <si>
    <t>Allowance for Doubtful Accounts</t>
  </si>
  <si>
    <t>Accrued Utilities</t>
  </si>
  <si>
    <t>Attorney Fees</t>
  </si>
  <si>
    <t>Gain on Disposal of Property, Plant, &amp; Equipment</t>
  </si>
  <si>
    <t>Additional Paid in Capital - Treasury Stock</t>
  </si>
  <si>
    <t>Allowance to Adjust Available-for-Sale Securities to Market</t>
  </si>
  <si>
    <t>Bonds Payable</t>
  </si>
  <si>
    <t>Bad Debts</t>
  </si>
  <si>
    <t>Gain on Sale of Intangibles</t>
  </si>
  <si>
    <t>Common Stock</t>
  </si>
  <si>
    <t>Allowance to Adjust Trading Securities to Market</t>
  </si>
  <si>
    <t>Capital Lease Liability</t>
  </si>
  <si>
    <t>Bank Service Charges</t>
  </si>
  <si>
    <t>Gain on Sale of Investments</t>
  </si>
  <si>
    <t>Dividends Paid</t>
  </si>
  <si>
    <t>Buildings</t>
  </si>
  <si>
    <t>Charitable Contributions Payable</t>
  </si>
  <si>
    <t>Bookkeeping Costs</t>
  </si>
  <si>
    <t>Gain on Settlement of Lawsuit</t>
  </si>
  <si>
    <t>Preferred Stock</t>
  </si>
  <si>
    <t>Cash</t>
  </si>
  <si>
    <t>Commissions Payable</t>
  </si>
  <si>
    <t>Cash Over and Short</t>
  </si>
  <si>
    <t>Grant Receipts</t>
  </si>
  <si>
    <t>Retained Earnings</t>
  </si>
  <si>
    <t>Cash Equivalents</t>
  </si>
  <si>
    <t>Credit Card Payable</t>
  </si>
  <si>
    <t>Charitable Contributions Costs</t>
  </si>
  <si>
    <t>Interest Earnings</t>
  </si>
  <si>
    <t>Treasury Stock</t>
  </si>
  <si>
    <t>Certificates of Deposit</t>
  </si>
  <si>
    <t>Customer Deposits</t>
  </si>
  <si>
    <t>Commissions Costs</t>
  </si>
  <si>
    <t>Investment lncome - Equity Method</t>
  </si>
  <si>
    <t>Unrealized Gain on Available for Sale Securities</t>
  </si>
  <si>
    <t>Checking Accounts</t>
  </si>
  <si>
    <t>Customer Refunds Payable</t>
  </si>
  <si>
    <t>Consulting Fees</t>
  </si>
  <si>
    <t>Membership &amp; Subscription Earnings</t>
  </si>
  <si>
    <t>Unrealized Loss on Available for Sale Securities</t>
  </si>
  <si>
    <t>Computer Equipment</t>
  </si>
  <si>
    <t>Deferred Income Tax Liability</t>
  </si>
  <si>
    <t>Cost of Goods Sold</t>
  </si>
  <si>
    <t>Rent Receipts</t>
  </si>
  <si>
    <t>Computer Hardware</t>
  </si>
  <si>
    <t>Discount on Bonds Payable</t>
  </si>
  <si>
    <t>Cost of Sales</t>
  </si>
  <si>
    <t>Royalty Income</t>
  </si>
  <si>
    <t>Copyright</t>
  </si>
  <si>
    <t>Discount on Notes Payable</t>
  </si>
  <si>
    <t>Delivery Fees</t>
  </si>
  <si>
    <t>Sales</t>
  </si>
  <si>
    <t>Customer Lists</t>
  </si>
  <si>
    <t>Dividends Payable</t>
  </si>
  <si>
    <t>Depreciation Costs</t>
  </si>
  <si>
    <t>Sales Discounts</t>
  </si>
  <si>
    <t>Deferred Tax Assets</t>
  </si>
  <si>
    <t>Excise Taxes Payable</t>
  </si>
  <si>
    <t>Electricity Fees</t>
  </si>
  <si>
    <t>Sales Returns and Allowances</t>
  </si>
  <si>
    <t>Equipment</t>
  </si>
  <si>
    <t>Federal Income Tax Withholdings Payable</t>
  </si>
  <si>
    <t>Entertainment Costs</t>
  </si>
  <si>
    <t>Unrealized Gain on Trading Securities</t>
  </si>
  <si>
    <t>Finished Goods Inventory</t>
  </si>
  <si>
    <t>Federal Unemployment Taxes Payable</t>
  </si>
  <si>
    <t>Equipment Rental Fees</t>
  </si>
  <si>
    <t>Franchise</t>
  </si>
  <si>
    <t>FICA Taxes Payable</t>
  </si>
  <si>
    <t>Federal Taxes Paid</t>
  </si>
  <si>
    <t>Furniture</t>
  </si>
  <si>
    <t>Fines Payable</t>
  </si>
  <si>
    <t>Fines and Penalties</t>
  </si>
  <si>
    <t>Goodwill</t>
  </si>
  <si>
    <t>Income Taxes Payable</t>
  </si>
  <si>
    <t>Foreign Exchange Losses</t>
  </si>
  <si>
    <t>Interest Receivable</t>
  </si>
  <si>
    <t>Insurance Payable</t>
  </si>
  <si>
    <t>Gas Costs</t>
  </si>
  <si>
    <t>Inventory</t>
  </si>
  <si>
    <t>Interest Payable</t>
  </si>
  <si>
    <t>Income Taxes Costs</t>
  </si>
  <si>
    <t>Investment in Subsidiary</t>
  </si>
  <si>
    <t>Lawsuit Payable</t>
  </si>
  <si>
    <t>Insurance Costs</t>
  </si>
  <si>
    <t>Investments</t>
  </si>
  <si>
    <t>Lease Liability</t>
  </si>
  <si>
    <t>Interest Costs</t>
  </si>
  <si>
    <t>Investments-Available-for-Sale Securities</t>
  </si>
  <si>
    <t>Legal Fees Payable</t>
  </si>
  <si>
    <t>IT Costs</t>
  </si>
  <si>
    <t>Investments-Equity Method</t>
  </si>
  <si>
    <t>Line of Credit Payable</t>
  </si>
  <si>
    <t>Legal Fees</t>
  </si>
  <si>
    <t>Investments-Trading Securities</t>
  </si>
  <si>
    <t>Loans Payable</t>
  </si>
  <si>
    <t>License Fees and Taxes</t>
  </si>
  <si>
    <t>Land</t>
  </si>
  <si>
    <t>Medicare Taxes Payable</t>
  </si>
  <si>
    <t>Loss from Impairment</t>
  </si>
  <si>
    <t>Leased Assets</t>
  </si>
  <si>
    <t>Mortgage Payable</t>
  </si>
  <si>
    <t>Loss on Disposal of Property,Plant, &amp; Equipment</t>
  </si>
  <si>
    <t>Leasehold Improvements</t>
  </si>
  <si>
    <t>Notes Payable</t>
  </si>
  <si>
    <t>Loss on Sale of Intangibles</t>
  </si>
  <si>
    <t>Marketable Securities</t>
  </si>
  <si>
    <t>Payroll Taxes Payable</t>
  </si>
  <si>
    <t>Loss on Sale of Investments</t>
  </si>
  <si>
    <t>Money Market Accounts</t>
  </si>
  <si>
    <t>Premium on Bonds Payable</t>
  </si>
  <si>
    <t>Meals Costs</t>
  </si>
  <si>
    <t>Natural Resources</t>
  </si>
  <si>
    <t>Premium on Notes Payable</t>
  </si>
  <si>
    <t>Medicare Taxes Cost</t>
  </si>
  <si>
    <t>Notes Receivable</t>
  </si>
  <si>
    <t>Property Taxes Payable</t>
  </si>
  <si>
    <t>Miscellaneous Costs</t>
  </si>
  <si>
    <t>Office Equipment</t>
  </si>
  <si>
    <t>Provision for Lawsuit</t>
  </si>
  <si>
    <t>Office Rent Fees</t>
  </si>
  <si>
    <t>Patents</t>
  </si>
  <si>
    <t>Rent Payable</t>
  </si>
  <si>
    <t>Organizational Costs</t>
  </si>
  <si>
    <t>Petty Cash</t>
  </si>
  <si>
    <t>Repair &amp; Maintenance Payable</t>
  </si>
  <si>
    <t>Other Costs</t>
  </si>
  <si>
    <t>Prepaid Advertising</t>
  </si>
  <si>
    <t>Revenue Received in Advance</t>
  </si>
  <si>
    <t>Penalties and Fines</t>
  </si>
  <si>
    <t>Prepaid Insurance</t>
  </si>
  <si>
    <t>Royalties Payable</t>
  </si>
  <si>
    <t>Postage Costs</t>
  </si>
  <si>
    <t>Prepaid Office Supplies</t>
  </si>
  <si>
    <t>Salaries Payable</t>
  </si>
  <si>
    <t>Promotional Materials Costs</t>
  </si>
  <si>
    <t>Prepaid Rent</t>
  </si>
  <si>
    <t>Sales Taxes Payable</t>
  </si>
  <si>
    <t>Property Tax Fees</t>
  </si>
  <si>
    <t>Prepaid Repairs &amp; Maintenance</t>
  </si>
  <si>
    <t>Short-Term Notes Payable</t>
  </si>
  <si>
    <t>Purchase Allowances</t>
  </si>
  <si>
    <t>Prepaid Security Services</t>
  </si>
  <si>
    <t>Social Security Taxes Payable</t>
  </si>
  <si>
    <t>Purchases</t>
  </si>
  <si>
    <t>Prepaid Subscriptions</t>
  </si>
  <si>
    <t>State Unemployment Taxes Payable</t>
  </si>
  <si>
    <t>Purchases Discounts</t>
  </si>
  <si>
    <t>Raw Materials Inventory</t>
  </si>
  <si>
    <t>Unearned Consulting Fees</t>
  </si>
  <si>
    <t>Rent Fees</t>
  </si>
  <si>
    <t>Rent Receivable</t>
  </si>
  <si>
    <t>Unearned Legal Fees</t>
  </si>
  <si>
    <t>Repairs &amp; Maintenance Costs</t>
  </si>
  <si>
    <t>Savings Accounts</t>
  </si>
  <si>
    <t>Unearned Rent Revenue</t>
  </si>
  <si>
    <t>Research and Development Costs</t>
  </si>
  <si>
    <t>Service Equipment</t>
  </si>
  <si>
    <t>Unearned Revenues</t>
  </si>
  <si>
    <t>Royalties Paid</t>
  </si>
  <si>
    <t>Short-Term Bonds Receivable</t>
  </si>
  <si>
    <t>Unearned Sales Revenue</t>
  </si>
  <si>
    <t>Salaries Paid</t>
  </si>
  <si>
    <t>Supplies Inventory</t>
  </si>
  <si>
    <t>Unearned Service Revenue</t>
  </si>
  <si>
    <t>Security Services Costs</t>
  </si>
  <si>
    <t>Tax Refund Receivable</t>
  </si>
  <si>
    <t>Unemployment Taxes Payable</t>
  </si>
  <si>
    <t>Service Charges</t>
  </si>
  <si>
    <t>Trademark</t>
  </si>
  <si>
    <t>Union Dues Payable</t>
  </si>
  <si>
    <t>Service Supplies Costs</t>
  </si>
  <si>
    <t>Trading Securities</t>
  </si>
  <si>
    <t>Utilities Payable</t>
  </si>
  <si>
    <t>Social Security Taxes Paid</t>
  </si>
  <si>
    <t>Treasury Bills</t>
  </si>
  <si>
    <t>Wages Payable</t>
  </si>
  <si>
    <t>Software Subscription Costs</t>
  </si>
  <si>
    <t>Trucks</t>
  </si>
  <si>
    <t>Warranty Liability</t>
  </si>
  <si>
    <t>Store Supplies Costs</t>
  </si>
  <si>
    <t>Work-in-Process Inventory</t>
  </si>
  <si>
    <t>Supplies Costs</t>
  </si>
  <si>
    <t>Taxes Costs</t>
  </si>
  <si>
    <t>Trade Show Costs</t>
  </si>
  <si>
    <t>Training Costs</t>
  </si>
  <si>
    <t>Transportation-In</t>
  </si>
  <si>
    <t>Travel Costs</t>
  </si>
  <si>
    <t>Unemployment Taxes Costs</t>
  </si>
  <si>
    <t>Utilities Fees</t>
  </si>
  <si>
    <t>Wages Costs</t>
  </si>
  <si>
    <t>Warranty Costs</t>
  </si>
  <si>
    <t>Water Fees</t>
  </si>
  <si>
    <t>Cash on Hand</t>
  </si>
  <si>
    <t>Accounting Costs</t>
  </si>
  <si>
    <t>Dividend Income</t>
  </si>
  <si>
    <t>Advertising Costs</t>
  </si>
  <si>
    <t>Interest Income</t>
  </si>
  <si>
    <t>Rent Income</t>
  </si>
  <si>
    <t>Service Income</t>
  </si>
  <si>
    <t>Fines</t>
  </si>
  <si>
    <t>Postage Fees</t>
  </si>
  <si>
    <t>Salaries Costs</t>
  </si>
  <si>
    <t>Taxes Paid</t>
  </si>
  <si>
    <t>Wages Paige</t>
  </si>
  <si>
    <t>Advertising Income</t>
  </si>
  <si>
    <t>Commission Received</t>
  </si>
  <si>
    <t>Commissions Paid</t>
  </si>
  <si>
    <t>Membership &amp; Subscription Income</t>
  </si>
  <si>
    <t>Income Taxes Paid</t>
  </si>
  <si>
    <t>IT Fees</t>
  </si>
  <si>
    <t>Licensing Fees and Taxes</t>
  </si>
  <si>
    <t>Medicare Taxes Paid</t>
  </si>
  <si>
    <t>Property Taxes Paid</t>
  </si>
  <si>
    <t>Royalties Costs</t>
  </si>
  <si>
    <t>Unemployment Taxes Paid</t>
  </si>
  <si>
    <t>Commissions Received</t>
  </si>
  <si>
    <t>Grants Received</t>
  </si>
  <si>
    <t>Purchases Allowances</t>
  </si>
  <si>
    <t>Software Subscription Fees</t>
  </si>
  <si>
    <t>Debits</t>
  </si>
  <si>
    <t>Credits</t>
  </si>
  <si>
    <t>Accounting Expense</t>
  </si>
  <si>
    <t>Advertising Expense</t>
  </si>
  <si>
    <t>Bank Service Charge Expense</t>
  </si>
  <si>
    <t>Bookkeeping Expense</t>
  </si>
  <si>
    <t>Charitable Contributions Expense</t>
  </si>
  <si>
    <t>Electricity Expense</t>
  </si>
  <si>
    <t>Entertainment Expense</t>
  </si>
  <si>
    <t>Fine Expense</t>
  </si>
  <si>
    <t>Gas Expense</t>
  </si>
  <si>
    <t>Rent Revenue</t>
  </si>
  <si>
    <t>Insurance Expense</t>
  </si>
  <si>
    <t>Interest Expense</t>
  </si>
  <si>
    <t>Sales Income</t>
  </si>
  <si>
    <t>Sales Revenue</t>
  </si>
  <si>
    <t>Legal Expense</t>
  </si>
  <si>
    <t>Service Revenue</t>
  </si>
  <si>
    <t>Meals Expense</t>
  </si>
  <si>
    <t>Miscellaneous Expense</t>
  </si>
  <si>
    <t>Other Assets</t>
  </si>
  <si>
    <t>Other Expense</t>
  </si>
  <si>
    <t>Postage Expense</t>
  </si>
  <si>
    <t>Advertising Revenue</t>
  </si>
  <si>
    <t>Repairs &amp; Maintenance Expense</t>
  </si>
  <si>
    <t>Salaries Expense</t>
  </si>
  <si>
    <t>Service Supplies Expense</t>
  </si>
  <si>
    <t>Store Supplies Expense</t>
  </si>
  <si>
    <t>Supplies Expense</t>
  </si>
  <si>
    <t>Taxes Expense</t>
  </si>
  <si>
    <t>Travel Expense</t>
  </si>
  <si>
    <t>Utilities Expense</t>
  </si>
  <si>
    <t>Wages Expense</t>
  </si>
  <si>
    <t>Warranty Expense</t>
  </si>
  <si>
    <t>Water Expense</t>
  </si>
  <si>
    <t>Amortization Expense</t>
  </si>
  <si>
    <t>Artist Fee Expense</t>
  </si>
  <si>
    <t>Bad Debt Expense</t>
  </si>
  <si>
    <t>Membership &amp; Subscription Revenue</t>
  </si>
  <si>
    <t>Commissions Expense</t>
  </si>
  <si>
    <t>Consulting Expense</t>
  </si>
  <si>
    <t>Delivery Expense</t>
  </si>
  <si>
    <t>Depreciation Expense</t>
  </si>
  <si>
    <t>Equipment Rental Expense</t>
  </si>
  <si>
    <t>Income Taxes Expense</t>
  </si>
  <si>
    <t>IT Expense</t>
  </si>
  <si>
    <t>License Fees and Taxes Expense</t>
  </si>
  <si>
    <t>Medicare Taxes Expense</t>
  </si>
  <si>
    <t>Grant Revenue</t>
  </si>
  <si>
    <t>Office Rent Expense</t>
  </si>
  <si>
    <t>Penalties and Fines Expense</t>
  </si>
  <si>
    <t>Promotional Materials Expense</t>
  </si>
  <si>
    <t>Property Taxes Expense</t>
  </si>
  <si>
    <t>Rent Expense</t>
  </si>
  <si>
    <t>Royalties Expense</t>
  </si>
  <si>
    <t>Security Services Expense</t>
  </si>
  <si>
    <t>Service Charge Expense</t>
  </si>
  <si>
    <t>Social Security Taxes Expense</t>
  </si>
  <si>
    <t>Software Subscription Expense</t>
  </si>
  <si>
    <t>Trade Show Expense</t>
  </si>
  <si>
    <t>Training Expense</t>
  </si>
  <si>
    <t>Unemployment Taxes Expense</t>
  </si>
  <si>
    <t>Research and Development Expense</t>
  </si>
  <si>
    <t>Debit</t>
  </si>
  <si>
    <t>Credit</t>
  </si>
  <si>
    <t>A=</t>
  </si>
  <si>
    <t>L+</t>
  </si>
  <si>
    <t>SE</t>
  </si>
  <si>
    <t>Answer a</t>
  </si>
  <si>
    <t>Answer b</t>
  </si>
  <si>
    <t>Answer c</t>
  </si>
  <si>
    <t>Answer d</t>
  </si>
  <si>
    <t>Aubie Co. has $500 in equipment and a $200 note payable. What is Aubie Co's equity?</t>
  </si>
  <si>
    <t>Tigers Unlimited has a $1,000 mortgage and $500 of equity associated with a piece of land. What is the book value of the land?</t>
  </si>
  <si>
    <t>The book value of a truck is $900 and equity is $400. How much is the associated liability?</t>
  </si>
  <si>
    <t>XYZ Company owns a building worth $1,200 and owes $700 on it. What is the owner's equity?</t>
  </si>
  <si>
    <t>If equipment is worth $750 and liabilities total $250, what is the equity in the equipment?</t>
  </si>
  <si>
    <t>A factory is valued at $1,800. If liabilities are $1,200, what is the owner's equity?</t>
  </si>
  <si>
    <t>ABC Company has assets of $1,000 and equity of $600. What is the amount of liabilities?</t>
  </si>
  <si>
    <t>Land is valued at $2,200, with $800 owed. What is the company’s equity in the land?</t>
  </si>
  <si>
    <t>AM Partnership has $1,600 in assets and $1,100 in liabilities. What is its equity?</t>
  </si>
  <si>
    <t>If equity in a patent is $1,000 and liabilities are $300, what is the asset’s value?</t>
  </si>
  <si>
    <t>A laptop has a book value of $600 and equity of $500. What is the liability amount?</t>
  </si>
  <si>
    <t>If total assets are $2,000 and liabilities are $1,500, how much is the equity?</t>
  </si>
  <si>
    <t>The value of machinery is $1,700 and equity is $900. What is the liability?</t>
  </si>
  <si>
    <t>War Eagle Inc. owns $1,400 in office furniture and owes $600 on it. What is the equity in the furniture?</t>
  </si>
  <si>
    <t>If a company’s total assets are $2,500 and its liabilities are $1,000, how much equity does it have?</t>
  </si>
  <si>
    <t>Turner Corp. has an automobile they paid $1,500 for and took out  a liability of $900, how much equity does it have?</t>
  </si>
  <si>
    <t>Lowder Inc. has stockholders equity of $2,000 and liabilities of $2,000, how much do they have in assets?</t>
  </si>
  <si>
    <t>Toomers Drugs has inventory worth $1,000 and liabilities of $500, how much do they have in equity?</t>
  </si>
  <si>
    <t>J&amp;M has $2,500 in stockholders equity and $1,500 in liabilities, how much do they have in assets?</t>
  </si>
  <si>
    <t>Samford Inc. has $1,500 in a couch and equity of $250, how much does Samford Inc. have in liabilities?</t>
  </si>
  <si>
    <t>Key to question 1</t>
  </si>
  <si>
    <t>a</t>
  </si>
  <si>
    <t>c</t>
  </si>
  <si>
    <t>b</t>
  </si>
  <si>
    <t>d</t>
  </si>
  <si>
    <t>Elements</t>
  </si>
  <si>
    <t>Transaction #</t>
  </si>
  <si>
    <t>(Net Income)</t>
  </si>
  <si>
    <t>Transaction Description</t>
  </si>
  <si>
    <t>Wrong 1</t>
  </si>
  <si>
    <t>Wrong 2</t>
  </si>
  <si>
    <t>+</t>
  </si>
  <si>
    <t>Aubie Co. sells 500 widgets on credit. What is the impact on the equation?</t>
  </si>
  <si>
    <t xml:space="preserve">A: -     L: +    SE:     NI:   </t>
  </si>
  <si>
    <t>AM Partnership purchases equipment using a note payable. What is the effect?</t>
  </si>
  <si>
    <t>Tigers Unlimited performs consulting work on account. What is the impact?</t>
  </si>
  <si>
    <t>–</t>
  </si>
  <si>
    <t>War Eagle Inc. pays cash dividends to shareholders. How does this affect the equation?</t>
  </si>
  <si>
    <t>13-15</t>
  </si>
  <si>
    <t>effect</t>
  </si>
  <si>
    <t>Office supplies worth $300 are used up and expensed. What is the effect?</t>
  </si>
  <si>
    <t>5-7</t>
  </si>
  <si>
    <t>impact</t>
  </si>
  <si>
    <t>Revenue of $1,000 is earned and collected in cash. What is the effect?</t>
  </si>
  <si>
    <t>get rid of "On..."</t>
  </si>
  <si>
    <t>New computers are bought on account. What is the impact?</t>
  </si>
  <si>
    <t>Salaries expense of $700 is paid. What is the effect on the equation?</t>
  </si>
  <si>
    <t>Andy purchases a $500 bond from Tigers Unlimited. What is the impact on Tigers' books?</t>
  </si>
  <si>
    <t>Mallory purchases 1,000 shares of common stock in Aubie Co. What is the effect?</t>
  </si>
  <si>
    <t>Lowder Inc pays off a loan using cash. How does this impact the equation?</t>
  </si>
  <si>
    <t>Inventory is purchased on account. What is the effect?</t>
  </si>
  <si>
    <t>Rent is paid for the month. How is the equation affected?</t>
  </si>
  <si>
    <t>Harbert LLC incurs an expense on account. What is the effect?</t>
  </si>
  <si>
    <t>Depreciation is recorded on equipment. What is the effect?</t>
  </si>
  <si>
    <t>Turner Corp. sells an automobile for cash. What is the effect?</t>
  </si>
  <si>
    <t>J&amp;M Bookstore sells 500 sweatshirts at a profit. What is the impact?</t>
  </si>
  <si>
    <t>Toomers Drugs pays interest on a loan. What is the impact?</t>
  </si>
  <si>
    <t>Samford Inc. purchases 1,000 t-shirts for resale with cash. What is the effect on the equation?</t>
  </si>
  <si>
    <t>Transaction Description - What is the resulting impact on the financial statements?</t>
  </si>
  <si>
    <t>O</t>
  </si>
  <si>
    <t>NE</t>
  </si>
  <si>
    <t xml:space="preserve">Aubie Co purchased a 1-year insurance policy on June 1 of Year 1 and failed to make an adjustment at year-end. </t>
  </si>
  <si>
    <t>U</t>
  </si>
  <si>
    <t>AM Partnership received loan proceeds on July 1st and did not make a journal entry.</t>
  </si>
  <si>
    <t>Tigers Unlimited collected $500 from a customer for an outstanding account. The cash collection was not recorded.</t>
  </si>
  <si>
    <t>Supplies purchased earlier were used during the period, but no adjusting entry was made to recognize supplies expense.</t>
  </si>
  <si>
    <t xml:space="preserve">Revenue paid and\ earned in December was not recorded until January. </t>
  </si>
  <si>
    <t>Depreciation expense was omitted at year-end.</t>
  </si>
  <si>
    <t>Wages earned (but not paid) in December were not recorded until January.</t>
  </si>
  <si>
    <t>Harbert Inc failed to record the sale of common stock for cash.</t>
  </si>
  <si>
    <t>Lowder LLC did not accrue utilities expense at year-end.</t>
  </si>
  <si>
    <t>War Eagle Co failed to record repayment of a note payable.</t>
  </si>
  <si>
    <t>Orange and Navy Inc. forgot to record a loan that they took out and received cash for the loan.</t>
  </si>
  <si>
    <t>Turner Corp. sold an automobile at a gain but did not record the transaction</t>
  </si>
  <si>
    <t>Samford Inc. purchased t-shirts with cash, but did not record the transaction</t>
  </si>
  <si>
    <t>J&amp;M Bookstore failed to accrue utilities expense at year end.</t>
  </si>
  <si>
    <t xml:space="preserve">The sell of a building at a gain is failed to be recorded. </t>
  </si>
  <si>
    <t>The accountant at a company accidentally puts the wrong amount for a loan, they recorded it at $5,000 instead of $50,000. Cash received from the loan was also incorrect.</t>
  </si>
  <si>
    <t xml:space="preserve">A company failed to record inteest they paid with cash. </t>
  </si>
  <si>
    <t>A company paid utilities on credit, but forgot to enter the transaction</t>
  </si>
  <si>
    <t>Toomers Drugs forgets to record the sell of lemonade, what is the effect. It cost $1 to make and they sold it for $3.</t>
  </si>
  <si>
    <t>Jordan-Hare LLP forgets to record the transaction for payment of utilities. It was paid for with cash.</t>
  </si>
  <si>
    <t>Orange and Navy LLP takes out a loan and uses this loan to purchase a building. What is the effect?</t>
  </si>
  <si>
    <t>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</si>
</sst>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1" xfId="0" applyFont="1" applyBorder="1"/>
    <xf numFmtId="0" fontId="0" fillId="0" borderId="1" xfId="0" applyBorder="1"/>
    <xf numFmtId="3" fontId="0" fillId="0" borderId="1" xfId="0" applyNumberFormat="1" applyBorder="1"/>
    <xf numFmtId="0" fontId="0" fillId="5" borderId="1" xfId="0" applyFill="1" applyBorder="1"/>
    <xf numFmtId="3" fontId="0" fillId="5" borderId="1" xfId="0" applyNumberFormat="1" applyFill="1" applyBorder="1"/>
    <xf numFmtId="0" fontId="2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164" fontId="3" fillId="0" borderId="0" xfId="0" applyNumberFormat="1" applyFont="1"/>
    <xf numFmtId="0" fontId="3" fillId="0" borderId="0" xfId="0" applyFont="1"/>
    <xf numFmtId="3" fontId="0" fillId="0" borderId="0" xfId="0" applyNumberFormat="1"/>
    <xf numFmtId="3" fontId="3" fillId="0" borderId="0" xfId="0" applyNumberFormat="1" applyFont="1"/>
    <xf numFmtId="16" fontId="0" fillId="0" borderId="0" xfId="0" quotePrefix="1" applyNumberFormat="1"/>
    <xf numFmtId="0" fontId="0" fillId="0" borderId="3" xfId="0" applyBorder="1" applyAlignment="1">
      <alignment horizontal="right"/>
    </xf>
    <xf numFmtId="0" fontId="0" fillId="0" borderId="4" xfId="0" applyBorder="1"/>
    <xf numFmtId="0" fontId="0" fillId="0" borderId="5" xfId="0" applyBorder="1"/>
    <xf numFmtId="0" fontId="2" fillId="0" borderId="2" xfId="0" applyFont="1" applyBorder="1" applyAlignment="1">
      <alignment horizontal="center"/>
    </xf>
    <xf numFmtId="0" fontId="2" fillId="0" borderId="0" xfId="0" applyFont="1" applyFill="1" applyBorder="1"/>
    <xf numFmtId="3" fontId="0" fillId="0" borderId="0" xfId="0" applyNumberFormat="1" applyFill="1" applyBorder="1"/>
    <xf numFmtId="164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680B2-C0E1-45CA-8C6D-548E7CF94BE1}">
  <sheetPr codeName="Sheet1">
    <pageSetUpPr fitToPage="1"/>
  </sheetPr>
  <dimension ref="A1:E69"/>
  <sheetViews>
    <sheetView zoomScale="91" zoomScaleNormal="50" workbookViewId="0">
      <selection activeCell="E19" sqref="E19"/>
    </sheetView>
  </sheetViews>
  <sheetFormatPr baseColWidth="10" defaultColWidth="8.6640625" defaultRowHeight="15" x14ac:dyDescent="0.2"/>
  <cols>
    <col min="1" max="1" width="48.5" bestFit="1" customWidth="1"/>
    <col min="2" max="2" width="33.6640625" bestFit="1" customWidth="1"/>
    <col min="3" max="3" width="39.33203125" bestFit="1" customWidth="1"/>
    <col min="4" max="4" width="40.1640625" bestFit="1" customWidth="1"/>
    <col min="5" max="5" width="44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3" t="s">
        <v>5</v>
      </c>
      <c r="B2" s="3" t="s">
        <v>6</v>
      </c>
      <c r="C2" s="3" t="s">
        <v>7</v>
      </c>
      <c r="D2" s="2" t="s">
        <v>8</v>
      </c>
      <c r="E2" s="4" t="s">
        <v>9</v>
      </c>
    </row>
    <row r="3" spans="1:5" x14ac:dyDescent="0.2">
      <c r="A3" s="2" t="s">
        <v>10</v>
      </c>
      <c r="B3" s="2" t="s">
        <v>11</v>
      </c>
      <c r="C3" s="3" t="s">
        <v>12</v>
      </c>
      <c r="D3" s="2" t="s">
        <v>13</v>
      </c>
      <c r="E3" s="2" t="s">
        <v>14</v>
      </c>
    </row>
    <row r="4" spans="1:5" x14ac:dyDescent="0.2">
      <c r="A4" s="2" t="s">
        <v>15</v>
      </c>
      <c r="B4" s="2" t="s">
        <v>16</v>
      </c>
      <c r="C4" s="2" t="s">
        <v>17</v>
      </c>
      <c r="D4" s="3" t="s">
        <v>18</v>
      </c>
      <c r="E4" s="2" t="s">
        <v>19</v>
      </c>
    </row>
    <row r="5" spans="1:5" x14ac:dyDescent="0.2">
      <c r="A5" s="4" t="s">
        <v>20</v>
      </c>
      <c r="B5" s="2" t="s">
        <v>21</v>
      </c>
      <c r="C5" s="2" t="s">
        <v>22</v>
      </c>
      <c r="D5" s="4" t="s">
        <v>23</v>
      </c>
      <c r="E5" s="2" t="s">
        <v>24</v>
      </c>
    </row>
    <row r="6" spans="1:5" x14ac:dyDescent="0.2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5" x14ac:dyDescent="0.2">
      <c r="A7" s="4" t="s">
        <v>30</v>
      </c>
      <c r="B7" s="3" t="s">
        <v>31</v>
      </c>
      <c r="C7" s="2" t="s">
        <v>32</v>
      </c>
      <c r="D7" s="2" t="s">
        <v>33</v>
      </c>
      <c r="E7" s="3" t="s">
        <v>34</v>
      </c>
    </row>
    <row r="8" spans="1:5" x14ac:dyDescent="0.2">
      <c r="A8" s="4" t="s">
        <v>35</v>
      </c>
      <c r="B8" s="4" t="s">
        <v>36</v>
      </c>
      <c r="C8" s="3" t="s">
        <v>37</v>
      </c>
      <c r="D8" s="2" t="s">
        <v>38</v>
      </c>
      <c r="E8" s="3" t="s">
        <v>39</v>
      </c>
    </row>
    <row r="9" spans="1:5" x14ac:dyDescent="0.2">
      <c r="A9" s="3" t="s">
        <v>40</v>
      </c>
      <c r="B9" s="2" t="s">
        <v>41</v>
      </c>
      <c r="C9" s="3" t="s">
        <v>42</v>
      </c>
      <c r="D9" s="2" t="s">
        <v>43</v>
      </c>
      <c r="E9" s="2" t="s">
        <v>44</v>
      </c>
    </row>
    <row r="10" spans="1:5" x14ac:dyDescent="0.2">
      <c r="A10" s="3" t="s">
        <v>45</v>
      </c>
      <c r="B10" s="2" t="s">
        <v>46</v>
      </c>
      <c r="C10" s="4" t="s">
        <v>47</v>
      </c>
      <c r="D10" s="4" t="s">
        <v>48</v>
      </c>
      <c r="E10" s="3" t="s">
        <v>49</v>
      </c>
    </row>
    <row r="11" spans="1:5" x14ac:dyDescent="0.2">
      <c r="A11" s="3" t="s">
        <v>50</v>
      </c>
      <c r="B11" s="3" t="s">
        <v>51</v>
      </c>
      <c r="C11" s="3" t="s">
        <v>52</v>
      </c>
      <c r="D11" s="3" t="s">
        <v>53</v>
      </c>
      <c r="E11" s="2" t="s">
        <v>54</v>
      </c>
    </row>
    <row r="12" spans="1:5" x14ac:dyDescent="0.2">
      <c r="A12" s="4" t="s">
        <v>55</v>
      </c>
      <c r="B12" s="2" t="s">
        <v>56</v>
      </c>
      <c r="C12" s="2" t="s">
        <v>57</v>
      </c>
      <c r="D12" s="4" t="s">
        <v>58</v>
      </c>
      <c r="E12" s="4" t="s">
        <v>59</v>
      </c>
    </row>
    <row r="13" spans="1:5" x14ac:dyDescent="0.2">
      <c r="A13" s="2" t="s">
        <v>60</v>
      </c>
      <c r="B13" s="2" t="s">
        <v>61</v>
      </c>
      <c r="C13" s="2" t="s">
        <v>62</v>
      </c>
      <c r="D13" s="2" t="s">
        <v>63</v>
      </c>
      <c r="E13" s="4" t="s">
        <v>64</v>
      </c>
    </row>
    <row r="14" spans="1:5" x14ac:dyDescent="0.2">
      <c r="A14" s="3" t="s">
        <v>65</v>
      </c>
      <c r="B14" s="4" t="s">
        <v>66</v>
      </c>
      <c r="C14" s="2" t="s">
        <v>67</v>
      </c>
      <c r="D14" s="3" t="s">
        <v>68</v>
      </c>
    </row>
    <row r="15" spans="1:5" x14ac:dyDescent="0.2">
      <c r="A15" s="2" t="s">
        <v>69</v>
      </c>
      <c r="B15" s="4" t="s">
        <v>70</v>
      </c>
      <c r="C15" s="2" t="s">
        <v>71</v>
      </c>
      <c r="D15" s="4" t="s">
        <v>72</v>
      </c>
    </row>
    <row r="16" spans="1:5" x14ac:dyDescent="0.2">
      <c r="A16" s="2" t="s">
        <v>73</v>
      </c>
      <c r="B16" s="4" t="s">
        <v>74</v>
      </c>
      <c r="C16" s="2" t="s">
        <v>75</v>
      </c>
      <c r="D16" s="3" t="s">
        <v>76</v>
      </c>
    </row>
    <row r="17" spans="1:4" x14ac:dyDescent="0.2">
      <c r="A17" s="2" t="s">
        <v>77</v>
      </c>
      <c r="B17" s="2" t="s">
        <v>78</v>
      </c>
      <c r="C17" s="2" t="s">
        <v>79</v>
      </c>
      <c r="D17" s="2" t="s">
        <v>80</v>
      </c>
    </row>
    <row r="18" spans="1:4" x14ac:dyDescent="0.2">
      <c r="A18" s="4" t="s">
        <v>81</v>
      </c>
      <c r="B18" s="2" t="s">
        <v>82</v>
      </c>
      <c r="C18" s="3" t="s">
        <v>83</v>
      </c>
      <c r="D18" s="2" t="s">
        <v>84</v>
      </c>
    </row>
    <row r="19" spans="1:4" x14ac:dyDescent="0.2">
      <c r="A19" s="3" t="s">
        <v>85</v>
      </c>
      <c r="B19" s="2" t="s">
        <v>86</v>
      </c>
      <c r="C19" s="3" t="s">
        <v>87</v>
      </c>
      <c r="D19" s="4" t="s">
        <v>88</v>
      </c>
    </row>
    <row r="20" spans="1:4" x14ac:dyDescent="0.2">
      <c r="A20" s="2" t="s">
        <v>89</v>
      </c>
      <c r="B20" s="2" t="s">
        <v>90</v>
      </c>
      <c r="C20" s="2" t="s">
        <v>91</v>
      </c>
    </row>
    <row r="21" spans="1:4" x14ac:dyDescent="0.2">
      <c r="A21" s="2" t="s">
        <v>92</v>
      </c>
      <c r="B21" s="2" t="s">
        <v>93</v>
      </c>
      <c r="C21" s="3" t="s">
        <v>94</v>
      </c>
    </row>
    <row r="22" spans="1:4" x14ac:dyDescent="0.2">
      <c r="A22" s="3" t="s">
        <v>95</v>
      </c>
      <c r="B22" s="3" t="s">
        <v>96</v>
      </c>
      <c r="C22" s="3" t="s">
        <v>97</v>
      </c>
    </row>
    <row r="23" spans="1:4" x14ac:dyDescent="0.2">
      <c r="A23" s="3" t="s">
        <v>98</v>
      </c>
      <c r="B23" s="2" t="s">
        <v>99</v>
      </c>
      <c r="C23" s="4" t="s">
        <v>100</v>
      </c>
    </row>
    <row r="24" spans="1:4" x14ac:dyDescent="0.2">
      <c r="A24" s="3" t="s">
        <v>101</v>
      </c>
      <c r="B24" s="3" t="s">
        <v>102</v>
      </c>
      <c r="C24" s="3" t="s">
        <v>103</v>
      </c>
    </row>
    <row r="25" spans="1:4" x14ac:dyDescent="0.2">
      <c r="A25" s="3" t="s">
        <v>104</v>
      </c>
      <c r="B25" s="3" t="s">
        <v>105</v>
      </c>
      <c r="C25" s="2" t="s">
        <v>106</v>
      </c>
    </row>
    <row r="26" spans="1:4" x14ac:dyDescent="0.2">
      <c r="A26" s="4" t="s">
        <v>107</v>
      </c>
      <c r="B26" s="2" t="s">
        <v>108</v>
      </c>
      <c r="C26" s="3" t="s">
        <v>109</v>
      </c>
    </row>
    <row r="27" spans="1:4" x14ac:dyDescent="0.2">
      <c r="A27" s="3" t="s">
        <v>110</v>
      </c>
      <c r="B27" s="2" t="s">
        <v>111</v>
      </c>
      <c r="C27" s="3" t="s">
        <v>112</v>
      </c>
    </row>
    <row r="28" spans="1:4" x14ac:dyDescent="0.2">
      <c r="A28" s="4" t="s">
        <v>113</v>
      </c>
      <c r="B28" s="3" t="s">
        <v>114</v>
      </c>
      <c r="C28" s="2" t="s">
        <v>115</v>
      </c>
    </row>
    <row r="29" spans="1:4" x14ac:dyDescent="0.2">
      <c r="A29" s="4" t="s">
        <v>116</v>
      </c>
      <c r="B29" s="3" t="s">
        <v>117</v>
      </c>
      <c r="C29" s="3" t="s">
        <v>118</v>
      </c>
    </row>
    <row r="30" spans="1:4" x14ac:dyDescent="0.2">
      <c r="A30" s="4" t="s">
        <v>119</v>
      </c>
      <c r="B30" s="3" t="s">
        <v>120</v>
      </c>
      <c r="C30" s="2" t="s">
        <v>121</v>
      </c>
    </row>
    <row r="31" spans="1:4" x14ac:dyDescent="0.2">
      <c r="A31" s="3" t="s">
        <v>122</v>
      </c>
      <c r="B31" s="2" t="s">
        <v>123</v>
      </c>
      <c r="C31" s="4" t="s">
        <v>124</v>
      </c>
    </row>
    <row r="32" spans="1:4" x14ac:dyDescent="0.2">
      <c r="A32" s="2" t="s">
        <v>125</v>
      </c>
      <c r="B32" s="3" t="s">
        <v>126</v>
      </c>
      <c r="C32" s="2" t="s">
        <v>127</v>
      </c>
    </row>
    <row r="33" spans="1:3" x14ac:dyDescent="0.2">
      <c r="A33" s="3" t="s">
        <v>128</v>
      </c>
      <c r="B33" s="3" t="s">
        <v>129</v>
      </c>
      <c r="C33" s="2" t="s">
        <v>130</v>
      </c>
    </row>
    <row r="34" spans="1:3" x14ac:dyDescent="0.2">
      <c r="A34" s="4" t="s">
        <v>131</v>
      </c>
      <c r="B34" s="3" t="s">
        <v>132</v>
      </c>
      <c r="C34" s="2" t="s">
        <v>133</v>
      </c>
    </row>
    <row r="35" spans="1:3" x14ac:dyDescent="0.2">
      <c r="A35" s="2" t="s">
        <v>134</v>
      </c>
      <c r="B35" s="4" t="s">
        <v>135</v>
      </c>
      <c r="C35" s="3" t="s">
        <v>136</v>
      </c>
    </row>
    <row r="36" spans="1:3" x14ac:dyDescent="0.2">
      <c r="A36" s="4" t="s">
        <v>137</v>
      </c>
      <c r="B36" s="4" t="s">
        <v>138</v>
      </c>
      <c r="C36" s="2" t="s">
        <v>139</v>
      </c>
    </row>
    <row r="37" spans="1:3" x14ac:dyDescent="0.2">
      <c r="A37" s="3" t="s">
        <v>140</v>
      </c>
      <c r="B37" s="2" t="s">
        <v>141</v>
      </c>
      <c r="C37" s="3" t="s">
        <v>142</v>
      </c>
    </row>
    <row r="38" spans="1:3" x14ac:dyDescent="0.2">
      <c r="A38" s="3" t="s">
        <v>143</v>
      </c>
      <c r="B38" s="4" t="s">
        <v>144</v>
      </c>
      <c r="C38" s="2" t="s">
        <v>145</v>
      </c>
    </row>
    <row r="39" spans="1:3" x14ac:dyDescent="0.2">
      <c r="A39" s="3" t="s">
        <v>146</v>
      </c>
      <c r="B39" s="3" t="s">
        <v>147</v>
      </c>
      <c r="C39" s="4" t="s">
        <v>148</v>
      </c>
    </row>
    <row r="40" spans="1:3" x14ac:dyDescent="0.2">
      <c r="A40" s="2" t="s">
        <v>149</v>
      </c>
      <c r="B40" s="3" t="s">
        <v>150</v>
      </c>
      <c r="C40" s="3" t="s">
        <v>151</v>
      </c>
    </row>
    <row r="41" spans="1:3" x14ac:dyDescent="0.2">
      <c r="A41" s="3" t="s">
        <v>152</v>
      </c>
      <c r="B41" s="4" t="s">
        <v>153</v>
      </c>
      <c r="C41" s="2" t="s">
        <v>154</v>
      </c>
    </row>
    <row r="42" spans="1:3" x14ac:dyDescent="0.2">
      <c r="A42" s="3" t="s">
        <v>155</v>
      </c>
      <c r="B42" s="4" t="s">
        <v>156</v>
      </c>
      <c r="C42" s="3" t="s">
        <v>157</v>
      </c>
    </row>
    <row r="43" spans="1:3" x14ac:dyDescent="0.2">
      <c r="A43" s="3" t="s">
        <v>158</v>
      </c>
      <c r="B43" s="3" t="s">
        <v>159</v>
      </c>
      <c r="C43" s="2" t="s">
        <v>160</v>
      </c>
    </row>
    <row r="44" spans="1:3" x14ac:dyDescent="0.2">
      <c r="A44" s="3" t="s">
        <v>161</v>
      </c>
      <c r="B44" s="3" t="s">
        <v>162</v>
      </c>
      <c r="C44" s="2" t="s">
        <v>163</v>
      </c>
    </row>
    <row r="45" spans="1:3" x14ac:dyDescent="0.2">
      <c r="A45" s="3" t="s">
        <v>164</v>
      </c>
      <c r="B45" s="3" t="s">
        <v>165</v>
      </c>
      <c r="C45" s="4" t="s">
        <v>166</v>
      </c>
    </row>
    <row r="46" spans="1:3" x14ac:dyDescent="0.2">
      <c r="A46" s="3" t="s">
        <v>167</v>
      </c>
      <c r="B46" s="2" t="s">
        <v>168</v>
      </c>
      <c r="C46" s="4" t="s">
        <v>169</v>
      </c>
    </row>
    <row r="47" spans="1:3" x14ac:dyDescent="0.2">
      <c r="A47" s="3" t="s">
        <v>170</v>
      </c>
      <c r="B47" s="2" t="s">
        <v>171</v>
      </c>
      <c r="C47" s="4" t="s">
        <v>172</v>
      </c>
    </row>
    <row r="48" spans="1:3" x14ac:dyDescent="0.2">
      <c r="A48" s="2" t="s">
        <v>173</v>
      </c>
      <c r="B48" s="2" t="s">
        <v>174</v>
      </c>
      <c r="C48" s="2" t="s">
        <v>175</v>
      </c>
    </row>
    <row r="49" spans="1:3" x14ac:dyDescent="0.2">
      <c r="A49" s="3" t="s">
        <v>176</v>
      </c>
      <c r="B49" s="2" t="s">
        <v>177</v>
      </c>
      <c r="C49" s="3" t="s">
        <v>178</v>
      </c>
    </row>
    <row r="50" spans="1:3" x14ac:dyDescent="0.2">
      <c r="A50" s="2" t="s">
        <v>179</v>
      </c>
      <c r="B50" s="2" t="s">
        <v>180</v>
      </c>
      <c r="C50" s="4" t="s">
        <v>181</v>
      </c>
    </row>
    <row r="51" spans="1:3" x14ac:dyDescent="0.2">
      <c r="A51" s="2" t="s">
        <v>182</v>
      </c>
      <c r="B51" s="2" t="s">
        <v>183</v>
      </c>
      <c r="C51" s="2" t="s">
        <v>184</v>
      </c>
    </row>
    <row r="52" spans="1:3" x14ac:dyDescent="0.2">
      <c r="A52" s="2" t="s">
        <v>185</v>
      </c>
      <c r="B52" s="2" t="s">
        <v>186</v>
      </c>
      <c r="C52" s="3" t="s">
        <v>187</v>
      </c>
    </row>
    <row r="53" spans="1:3" x14ac:dyDescent="0.2">
      <c r="A53" s="2" t="s">
        <v>188</v>
      </c>
      <c r="B53" s="2" t="s">
        <v>189</v>
      </c>
      <c r="C53" s="2" t="s">
        <v>190</v>
      </c>
    </row>
    <row r="54" spans="1:3" x14ac:dyDescent="0.2">
      <c r="A54" s="4" t="s">
        <v>191</v>
      </c>
      <c r="B54" s="2" t="s">
        <v>192</v>
      </c>
      <c r="C54" s="2" t="s">
        <v>193</v>
      </c>
    </row>
    <row r="55" spans="1:3" x14ac:dyDescent="0.2">
      <c r="A55" s="2" t="s">
        <v>194</v>
      </c>
      <c r="B55" s="2" t="s">
        <v>195</v>
      </c>
      <c r="C55" s="3" t="s">
        <v>196</v>
      </c>
    </row>
    <row r="56" spans="1:3" x14ac:dyDescent="0.2">
      <c r="A56" s="4" t="s">
        <v>197</v>
      </c>
      <c r="B56" s="3" t="s">
        <v>198</v>
      </c>
      <c r="C56" s="2" t="s">
        <v>199</v>
      </c>
    </row>
    <row r="57" spans="1:3" x14ac:dyDescent="0.2">
      <c r="A57" s="4" t="s">
        <v>200</v>
      </c>
      <c r="B57" s="2" t="s">
        <v>201</v>
      </c>
      <c r="C57" s="2" t="s">
        <v>202</v>
      </c>
    </row>
    <row r="58" spans="1:3" x14ac:dyDescent="0.2">
      <c r="A58" s="3" t="s">
        <v>203</v>
      </c>
      <c r="B58" s="2" t="s">
        <v>204</v>
      </c>
      <c r="C58" s="3" t="s">
        <v>205</v>
      </c>
    </row>
    <row r="59" spans="1:3" x14ac:dyDescent="0.2">
      <c r="A59" s="2" t="s">
        <v>206</v>
      </c>
      <c r="C59" s="3" t="s">
        <v>207</v>
      </c>
    </row>
    <row r="60" spans="1:3" x14ac:dyDescent="0.2">
      <c r="C60" s="3" t="s">
        <v>208</v>
      </c>
    </row>
    <row r="61" spans="1:3" x14ac:dyDescent="0.2">
      <c r="C61" s="2" t="s">
        <v>209</v>
      </c>
    </row>
    <row r="62" spans="1:3" x14ac:dyDescent="0.2">
      <c r="C62" s="2" t="s">
        <v>210</v>
      </c>
    </row>
    <row r="63" spans="1:3" x14ac:dyDescent="0.2">
      <c r="C63" s="4" t="s">
        <v>211</v>
      </c>
    </row>
    <row r="64" spans="1:3" x14ac:dyDescent="0.2">
      <c r="C64" s="3" t="s">
        <v>212</v>
      </c>
    </row>
    <row r="65" spans="3:3" x14ac:dyDescent="0.2">
      <c r="C65" s="2" t="s">
        <v>213</v>
      </c>
    </row>
    <row r="66" spans="3:3" x14ac:dyDescent="0.2">
      <c r="C66" s="3" t="s">
        <v>214</v>
      </c>
    </row>
    <row r="67" spans="3:3" x14ac:dyDescent="0.2">
      <c r="C67" s="3" t="s">
        <v>215</v>
      </c>
    </row>
    <row r="68" spans="3:3" x14ac:dyDescent="0.2">
      <c r="C68" s="3" t="s">
        <v>216</v>
      </c>
    </row>
    <row r="69" spans="3:3" x14ac:dyDescent="0.2">
      <c r="C69" s="3" t="s">
        <v>217</v>
      </c>
    </row>
  </sheetData>
  <sortState xmlns:xlrd2="http://schemas.microsoft.com/office/spreadsheetml/2017/richdata2" ref="B3:B58">
    <sortCondition ref="B58"/>
  </sortState>
  <pageMargins left="0.7" right="0.7" top="0.75" bottom="0.75" header="0.3" footer="0.3"/>
  <pageSetup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7D9BF-ADE7-2C48-A2DE-5945458E97A6}">
  <sheetPr>
    <pageSetUpPr fitToPage="1"/>
  </sheetPr>
  <dimension ref="A1:E69"/>
  <sheetViews>
    <sheetView topLeftCell="A38" zoomScale="132" zoomScaleNormal="50" workbookViewId="0">
      <selection activeCell="E2" sqref="E2:E13"/>
    </sheetView>
  </sheetViews>
  <sheetFormatPr baseColWidth="10" defaultColWidth="8.6640625" defaultRowHeight="15" x14ac:dyDescent="0.2"/>
  <cols>
    <col min="1" max="1" width="52" bestFit="1" customWidth="1"/>
    <col min="2" max="2" width="41.5" bestFit="1" customWidth="1"/>
    <col min="3" max="3" width="46" bestFit="1" customWidth="1"/>
    <col min="4" max="4" width="40.1640625" bestFit="1" customWidth="1"/>
    <col min="5" max="5" width="53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3" t="str">
        <f>_xlfn.CONCAT(All!A2, " - Assets")</f>
        <v>Accounts Receivable - Assets</v>
      </c>
      <c r="B2" s="3" t="str">
        <f>_xlfn.CONCAT(All!B2, " - Liabilities")</f>
        <v>Accounts Payable - Liabilities</v>
      </c>
      <c r="C2" s="3" t="str">
        <f>_xlfn.CONCAT(All!C3, " - Expense")</f>
        <v>Advertising Fees - Expense</v>
      </c>
      <c r="D2" s="2" t="str">
        <f>_xlfn.CONCAT(All!D2, " - Revenue")</f>
        <v>Advertising Earnings - Revenue</v>
      </c>
      <c r="E2" s="4" t="str">
        <f>_xlfn.CONCAT(All!E2, " - Stockholder's Equity")</f>
        <v>Accumulated Other Comprehenseive Income - Stockholder's Equity</v>
      </c>
    </row>
    <row r="3" spans="1:5" x14ac:dyDescent="0.2">
      <c r="A3" s="2" t="str">
        <f>_xlfn.CONCAT(All!A3, " - Assets")</f>
        <v>Accumulated Depletion - Assets</v>
      </c>
      <c r="B3" s="2" t="str">
        <f>_xlfn.CONCAT(All!B3, " - Liabilities")</f>
        <v>Accrued Interest - Liabilities</v>
      </c>
      <c r="C3" s="3" t="str">
        <f>_xlfn.CONCAT(All!C2, " - Expense")</f>
        <v>Accounting Fees - Expense</v>
      </c>
      <c r="D3" s="2" t="str">
        <f>_xlfn.CONCAT(All!D3, " - Revenue")</f>
        <v>Commission Receipts - Revenue</v>
      </c>
      <c r="E3" s="2" t="str">
        <f>_xlfn.CONCAT(All!E3, " - Stockholder's Equity")</f>
        <v>Accumulated Profits - Stockholder's Equity</v>
      </c>
    </row>
    <row r="4" spans="1:5" x14ac:dyDescent="0.2">
      <c r="A4" s="2" t="str">
        <f>_xlfn.CONCAT(All!A4, " - Assets")</f>
        <v>Accumulated Depreciation - Assets</v>
      </c>
      <c r="B4" s="2" t="str">
        <f>_xlfn.CONCAT(All!B4, " - Liabilities")</f>
        <v>Accrued Rent - Liabilities</v>
      </c>
      <c r="C4" s="2" t="str">
        <f>_xlfn.CONCAT(All!C4, " - Expense")</f>
        <v>Amortization Costs - Expense</v>
      </c>
      <c r="D4" s="3" t="str">
        <f>_xlfn.CONCAT(All!D4, " - Revenue")</f>
        <v>Dividend Earnings - Revenue</v>
      </c>
      <c r="E4" s="2" t="str">
        <f>_xlfn.CONCAT(All!E4, " - Stockholder's Equity")</f>
        <v>Additional Paid in Capital - Common Stock - Stockholder's Equity</v>
      </c>
    </row>
    <row r="5" spans="1:5" x14ac:dyDescent="0.2">
      <c r="A5" s="4" t="str">
        <f>_xlfn.CONCAT(All!A5, " - Assets")</f>
        <v>Advances to Officers, Directors, and Employees - Assets</v>
      </c>
      <c r="B5" s="2" t="str">
        <f>_xlfn.CONCAT(All!B5, " - Liabilities")</f>
        <v>Accrued Salaries - Liabilities</v>
      </c>
      <c r="C5" s="2" t="str">
        <f>_xlfn.CONCAT(All!C5, " - Expense")</f>
        <v>Artist Fees - Expense</v>
      </c>
      <c r="D5" s="4" t="str">
        <f>_xlfn.CONCAT(All!D5, " - Revenue")</f>
        <v>Foreign Exchange Gains - Revenue</v>
      </c>
      <c r="E5" s="2" t="str">
        <f>_xlfn.CONCAT(All!E5, " - Stockholder's Equity")</f>
        <v>Additional Paid in Capital - Preferred Stock - Stockholder's Equity</v>
      </c>
    </row>
    <row r="6" spans="1:5" x14ac:dyDescent="0.2">
      <c r="A6" s="2" t="str">
        <f>_xlfn.CONCAT(All!A6, " - Assets")</f>
        <v>Allowance for Doubtful Accounts - Assets</v>
      </c>
      <c r="B6" s="2" t="str">
        <f>_xlfn.CONCAT(All!B6, " - Liabilities")</f>
        <v>Accrued Utilities - Liabilities</v>
      </c>
      <c r="C6" s="2" t="str">
        <f>_xlfn.CONCAT(All!C6, " - Expense")</f>
        <v>Attorney Fees - Expense</v>
      </c>
      <c r="D6" s="2" t="str">
        <f>_xlfn.CONCAT(All!D6, " - Revenue")</f>
        <v>Gain on Disposal of Property, Plant, &amp; Equipment - Revenue</v>
      </c>
      <c r="E6" s="2" t="str">
        <f>_xlfn.CONCAT(All!E6, " - Stockholder's Equity")</f>
        <v>Additional Paid in Capital - Treasury Stock - Stockholder's Equity</v>
      </c>
    </row>
    <row r="7" spans="1:5" x14ac:dyDescent="0.2">
      <c r="A7" s="4" t="str">
        <f>_xlfn.CONCAT(All!A7, " - Assets")</f>
        <v>Allowance to Adjust Available-for-Sale Securities to Market - Assets</v>
      </c>
      <c r="B7" s="3" t="str">
        <f>_xlfn.CONCAT(All!B7, " - Liabilities")</f>
        <v>Bonds Payable - Liabilities</v>
      </c>
      <c r="C7" s="2" t="str">
        <f>_xlfn.CONCAT(All!C7, " - Expense")</f>
        <v>Bad Debts - Expense</v>
      </c>
      <c r="D7" s="2" t="str">
        <f>_xlfn.CONCAT(All!D7, " - Revenue")</f>
        <v>Gain on Sale of Intangibles - Revenue</v>
      </c>
      <c r="E7" s="3" t="str">
        <f>_xlfn.CONCAT(All!E7, " - Stockholder's Equity")</f>
        <v>Common Stock - Stockholder's Equity</v>
      </c>
    </row>
    <row r="8" spans="1:5" x14ac:dyDescent="0.2">
      <c r="A8" s="4" t="str">
        <f>_xlfn.CONCAT(All!A8, " - Assets")</f>
        <v>Allowance to Adjust Trading Securities to Market - Assets</v>
      </c>
      <c r="B8" s="4" t="str">
        <f>_xlfn.CONCAT(All!B8, " - Liabilities")</f>
        <v>Capital Lease Liability - Liabilities</v>
      </c>
      <c r="C8" s="3" t="str">
        <f>_xlfn.CONCAT(All!C8, " - Expense")</f>
        <v>Bank Service Charges - Expense</v>
      </c>
      <c r="D8" s="2" t="str">
        <f>_xlfn.CONCAT(All!D8, " - Revenue")</f>
        <v>Gain on Sale of Investments - Revenue</v>
      </c>
      <c r="E8" s="3" t="str">
        <f>_xlfn.CONCAT(All!E8, " - Stockholder's Equity")</f>
        <v>Dividends Paid - Stockholder's Equity</v>
      </c>
    </row>
    <row r="9" spans="1:5" x14ac:dyDescent="0.2">
      <c r="A9" s="3" t="str">
        <f>_xlfn.CONCAT(All!A9, " - Assets")</f>
        <v>Buildings - Assets</v>
      </c>
      <c r="B9" s="2" t="str">
        <f>_xlfn.CONCAT(All!B9, " - Liabilities")</f>
        <v>Charitable Contributions Payable - Liabilities</v>
      </c>
      <c r="C9" s="3" t="str">
        <f>_xlfn.CONCAT(All!C9, " - Expense")</f>
        <v>Bookkeeping Costs - Expense</v>
      </c>
      <c r="D9" s="2" t="str">
        <f>_xlfn.CONCAT(All!D9, " - Revenue")</f>
        <v>Gain on Settlement of Lawsuit - Revenue</v>
      </c>
      <c r="E9" s="2" t="str">
        <f>_xlfn.CONCAT(All!E9, " - Stockholder's Equity")</f>
        <v>Preferred Stock - Stockholder's Equity</v>
      </c>
    </row>
    <row r="10" spans="1:5" x14ac:dyDescent="0.2">
      <c r="A10" s="3" t="str">
        <f>_xlfn.CONCAT(All!A10, " - Assets")</f>
        <v>Cash - Assets</v>
      </c>
      <c r="B10" s="2" t="str">
        <f>_xlfn.CONCAT(All!B10, " - Liabilities")</f>
        <v>Commissions Payable - Liabilities</v>
      </c>
      <c r="C10" s="4" t="str">
        <f>_xlfn.CONCAT(All!C66, " - Expense")</f>
        <v>Utilities Fees - Expense</v>
      </c>
      <c r="D10" s="4" t="str">
        <f>_xlfn.CONCAT(All!D10, " - Revenue")</f>
        <v>Grant Receipts - Revenue</v>
      </c>
      <c r="E10" s="3" t="str">
        <f>_xlfn.CONCAT(All!E10, " - Stockholder's Equity")</f>
        <v>Retained Earnings - Stockholder's Equity</v>
      </c>
    </row>
    <row r="11" spans="1:5" x14ac:dyDescent="0.2">
      <c r="A11" s="3" t="str">
        <f>_xlfn.CONCAT(All!A11, " - Assets")</f>
        <v>Cash Equivalents - Assets</v>
      </c>
      <c r="B11" s="3" t="str">
        <f>_xlfn.CONCAT(All!B11, " - Liabilities")</f>
        <v>Credit Card Payable - Liabilities</v>
      </c>
      <c r="C11" s="3" t="str">
        <f>_xlfn.CONCAT(All!C10, " - Expense")</f>
        <v>Cash Over and Short - Expense</v>
      </c>
      <c r="D11" s="3" t="str">
        <f>_xlfn.CONCAT(All!D11, " - Revenue")</f>
        <v>Interest Earnings - Revenue</v>
      </c>
      <c r="E11" s="2" t="str">
        <f>_xlfn.CONCAT(All!E11, " - Stockholder's Equity")</f>
        <v>Treasury Stock - Stockholder's Equity</v>
      </c>
    </row>
    <row r="12" spans="1:5" x14ac:dyDescent="0.2">
      <c r="A12" s="4" t="str">
        <f>_xlfn.CONCAT(All!A12, " - Assets")</f>
        <v>Certificates of Deposit - Assets</v>
      </c>
      <c r="B12" s="2" t="str">
        <f>_xlfn.CONCAT(All!B12, " - Liabilities")</f>
        <v>Customer Deposits - Liabilities</v>
      </c>
      <c r="C12" s="2" t="str">
        <f>_xlfn.CONCAT(All!C11, " - Expense")</f>
        <v>Charitable Contributions Costs - Expense</v>
      </c>
      <c r="D12" s="4" t="str">
        <f>_xlfn.CONCAT(All!D12, " - Revenue")</f>
        <v>Investment lncome - Equity Method - Revenue</v>
      </c>
      <c r="E12" s="4" t="str">
        <f>_xlfn.CONCAT(All!E12, " - Stockholder's Equity")</f>
        <v>Unrealized Gain on Available for Sale Securities - Stockholder's Equity</v>
      </c>
    </row>
    <row r="13" spans="1:5" x14ac:dyDescent="0.2">
      <c r="A13" s="2" t="str">
        <f>_xlfn.CONCAT(All!A13, " - Assets")</f>
        <v>Checking Accounts - Assets</v>
      </c>
      <c r="B13" s="2" t="str">
        <f>_xlfn.CONCAT(All!B13, " - Liabilities")</f>
        <v>Customer Refunds Payable - Liabilities</v>
      </c>
      <c r="C13" s="2" t="str">
        <f>_xlfn.CONCAT(All!C12, " - Expense")</f>
        <v>Commissions Costs - Expense</v>
      </c>
      <c r="D13" s="2" t="str">
        <f>_xlfn.CONCAT(All!D13, " - Revenue")</f>
        <v>Membership &amp; Subscription Earnings - Revenue</v>
      </c>
      <c r="E13" s="4" t="str">
        <f>_xlfn.CONCAT(All!E13, " - Stockholder's Equity")</f>
        <v>Unrealized Loss on Available for Sale Securities - Stockholder's Equity</v>
      </c>
    </row>
    <row r="14" spans="1:5" x14ac:dyDescent="0.2">
      <c r="A14" s="3" t="str">
        <f>_xlfn.CONCAT(All!A14, " - Assets")</f>
        <v>Computer Equipment - Assets</v>
      </c>
      <c r="B14" s="4" t="str">
        <f>_xlfn.CONCAT(All!B14, " - Liabilities")</f>
        <v>Deferred Income Tax Liability - Liabilities</v>
      </c>
      <c r="C14" s="2" t="str">
        <f>_xlfn.CONCAT(All!C13, " - Expense")</f>
        <v>Consulting Fees - Expense</v>
      </c>
      <c r="D14" s="3" t="str">
        <f>_xlfn.CONCAT(All!D14, " - Revenue")</f>
        <v>Rent Receipts - Revenue</v>
      </c>
    </row>
    <row r="15" spans="1:5" x14ac:dyDescent="0.2">
      <c r="A15" s="2" t="str">
        <f>_xlfn.CONCAT(All!A15, " - Assets")</f>
        <v>Computer Hardware - Assets</v>
      </c>
      <c r="B15" s="4" t="str">
        <f>_xlfn.CONCAT(All!B15, " - Liabilities")</f>
        <v>Discount on Bonds Payable - Liabilities</v>
      </c>
      <c r="C15" s="2" t="str">
        <f>_xlfn.CONCAT(All!C14, " - Expense")</f>
        <v>Cost of Goods Sold - Expense</v>
      </c>
      <c r="D15" s="4" t="str">
        <f>_xlfn.CONCAT(All!D15, " - Revenue")</f>
        <v>Royalty Income - Revenue</v>
      </c>
    </row>
    <row r="16" spans="1:5" x14ac:dyDescent="0.2">
      <c r="A16" s="2" t="str">
        <f>_xlfn.CONCAT(All!A16, " - Assets")</f>
        <v>Copyright - Assets</v>
      </c>
      <c r="B16" s="4" t="str">
        <f>_xlfn.CONCAT(All!B16, " - Liabilities")</f>
        <v>Discount on Notes Payable - Liabilities</v>
      </c>
      <c r="C16" s="2" t="str">
        <f>_xlfn.CONCAT(All!C15, " - Expense")</f>
        <v>Cost of Sales - Expense</v>
      </c>
      <c r="D16" s="3" t="str">
        <f>_xlfn.CONCAT(All!D16, " - Revenue")</f>
        <v>Sales - Revenue</v>
      </c>
    </row>
    <row r="17" spans="1:4" x14ac:dyDescent="0.2">
      <c r="A17" s="2" t="str">
        <f>_xlfn.CONCAT(All!A17, " - Assets")</f>
        <v>Customer Lists - Assets</v>
      </c>
      <c r="B17" s="2" t="str">
        <f>_xlfn.CONCAT(All!B17, " - Liabilities")</f>
        <v>Dividends Payable - Liabilities</v>
      </c>
      <c r="C17" s="2" t="str">
        <f>_xlfn.CONCAT(All!C16, " - Expense")</f>
        <v>Delivery Fees - Expense</v>
      </c>
      <c r="D17" s="2" t="str">
        <f>_xlfn.CONCAT(All!D17, " - Revenue")</f>
        <v>Sales Discounts - Revenue</v>
      </c>
    </row>
    <row r="18" spans="1:4" x14ac:dyDescent="0.2">
      <c r="A18" s="4" t="str">
        <f>_xlfn.CONCAT(All!A18, " - Assets")</f>
        <v>Deferred Tax Assets - Assets</v>
      </c>
      <c r="B18" s="2" t="str">
        <f>_xlfn.CONCAT(All!B18, " - Liabilities")</f>
        <v>Excise Taxes Payable - Liabilities</v>
      </c>
      <c r="C18" s="3" t="str">
        <f>_xlfn.CONCAT(All!C17, " - Expense")</f>
        <v>Depreciation Costs - Expense</v>
      </c>
      <c r="D18" s="2" t="str">
        <f>_xlfn.CONCAT(All!D18, " - Revenue")</f>
        <v>Sales Returns and Allowances - Revenue</v>
      </c>
    </row>
    <row r="19" spans="1:4" x14ac:dyDescent="0.2">
      <c r="A19" s="3" t="str">
        <f>_xlfn.CONCAT(All!A19, " - Assets")</f>
        <v>Equipment - Assets</v>
      </c>
      <c r="B19" s="2" t="str">
        <f>_xlfn.CONCAT(All!B56, " - Liabilities")</f>
        <v>Utilities Payable - Liabilities</v>
      </c>
      <c r="C19" s="3" t="str">
        <f>_xlfn.CONCAT(All!C18, " - Expense")</f>
        <v>Electricity Fees - Expense</v>
      </c>
      <c r="D19" s="4" t="str">
        <f>_xlfn.CONCAT(All!D19, " - Revenue")</f>
        <v>Unrealized Gain on Trading Securities - Revenue</v>
      </c>
    </row>
    <row r="20" spans="1:4" x14ac:dyDescent="0.2">
      <c r="A20" s="2" t="str">
        <f>_xlfn.CONCAT(All!A20, " - Assets")</f>
        <v>Finished Goods Inventory - Assets</v>
      </c>
      <c r="B20" s="2" t="str">
        <f>_xlfn.CONCAT(All!B57, " - Liabilities")</f>
        <v>Wages Payable - Liabilities</v>
      </c>
      <c r="C20" s="2" t="str">
        <f>_xlfn.CONCAT(All!C19, " - Expense")</f>
        <v>Entertainment Costs - Expense</v>
      </c>
    </row>
    <row r="21" spans="1:4" x14ac:dyDescent="0.2">
      <c r="A21" s="2" t="str">
        <f>_xlfn.CONCAT(All!A21, " - Assets")</f>
        <v>Franchise - Assets</v>
      </c>
      <c r="B21" s="2" t="str">
        <f>_xlfn.CONCAT(All!B19, " - Liabilities")</f>
        <v>Federal Income Tax Withholdings Payable - Liabilities</v>
      </c>
      <c r="C21" s="4" t="str">
        <f>_xlfn.CONCAT(All!C67, " - Expense")</f>
        <v>Wages Costs - Expense</v>
      </c>
    </row>
    <row r="22" spans="1:4" x14ac:dyDescent="0.2">
      <c r="A22" s="3" t="str">
        <f>_xlfn.CONCAT(All!A22, " - Assets")</f>
        <v>Furniture - Assets</v>
      </c>
      <c r="B22" s="3" t="str">
        <f>_xlfn.CONCAT(All!B20, " - Liabilities")</f>
        <v>Federal Unemployment Taxes Payable - Liabilities</v>
      </c>
      <c r="C22" s="3" t="str">
        <f>_xlfn.CONCAT(All!C20, " - Expense")</f>
        <v>Equipment Rental Fees - Expense</v>
      </c>
    </row>
    <row r="23" spans="1:4" x14ac:dyDescent="0.2">
      <c r="A23" s="3" t="str">
        <f>_xlfn.CONCAT(All!A23, " - Assets")</f>
        <v>Goodwill - Assets</v>
      </c>
      <c r="B23" s="2" t="str">
        <f>_xlfn.CONCAT(All!B21, " - Liabilities")</f>
        <v>FICA Taxes Payable - Liabilities</v>
      </c>
      <c r="C23" s="4" t="str">
        <f>_xlfn.CONCAT(All!C21, " - Expense")</f>
        <v>Federal Taxes Paid - Expense</v>
      </c>
    </row>
    <row r="24" spans="1:4" x14ac:dyDescent="0.2">
      <c r="A24" s="3" t="str">
        <f>_xlfn.CONCAT(All!A24, " - Assets")</f>
        <v>Interest Receivable - Assets</v>
      </c>
      <c r="B24" s="3" t="str">
        <f>_xlfn.CONCAT(All!B22, " - Liabilities")</f>
        <v>Fines Payable - Liabilities</v>
      </c>
      <c r="C24" s="3" t="str">
        <f>_xlfn.CONCAT(All!C22, " - Expense")</f>
        <v>Fines and Penalties - Expense</v>
      </c>
    </row>
    <row r="25" spans="1:4" x14ac:dyDescent="0.2">
      <c r="A25" s="3" t="str">
        <f>_xlfn.CONCAT(All!A25, " - Assets")</f>
        <v>Inventory - Assets</v>
      </c>
      <c r="B25" s="3" t="str">
        <f>_xlfn.CONCAT(All!B23, " - Liabilities")</f>
        <v>Income Taxes Payable - Liabilities</v>
      </c>
      <c r="C25" s="2" t="str">
        <f>_xlfn.CONCAT(All!C23, " - Expense")</f>
        <v>Foreign Exchange Losses - Expense</v>
      </c>
    </row>
    <row r="26" spans="1:4" x14ac:dyDescent="0.2">
      <c r="A26" s="4" t="str">
        <f>_xlfn.CONCAT(All!A26, " - Assets")</f>
        <v>Investment in Subsidiary - Assets</v>
      </c>
      <c r="B26" s="2" t="str">
        <f>_xlfn.CONCAT(All!B24, " - Liabilities")</f>
        <v>Insurance Payable - Liabilities</v>
      </c>
      <c r="C26" s="3" t="str">
        <f>_xlfn.CONCAT(All!C24, " - Expense")</f>
        <v>Gas Costs - Expense</v>
      </c>
    </row>
    <row r="27" spans="1:4" x14ac:dyDescent="0.2">
      <c r="A27" s="3" t="str">
        <f>_xlfn.CONCAT(All!A27, " - Assets")</f>
        <v>Investments - Assets</v>
      </c>
      <c r="B27" s="2" t="str">
        <f>_xlfn.CONCAT(All!B25, " - Liabilities")</f>
        <v>Interest Payable - Liabilities</v>
      </c>
      <c r="C27" s="3" t="str">
        <f>_xlfn.CONCAT(All!C25, " - Expense")</f>
        <v>Income Taxes Costs - Expense</v>
      </c>
    </row>
    <row r="28" spans="1:4" x14ac:dyDescent="0.2">
      <c r="A28" s="4" t="str">
        <f>_xlfn.CONCAT(All!A28, " - Assets")</f>
        <v>Investments-Available-for-Sale Securities - Assets</v>
      </c>
      <c r="B28" s="3" t="str">
        <f>_xlfn.CONCAT(All!B26, " - Liabilities")</f>
        <v>Lawsuit Payable - Liabilities</v>
      </c>
      <c r="C28" s="2" t="str">
        <f>_xlfn.CONCAT(All!C26, " - Expense")</f>
        <v>Insurance Costs - Expense</v>
      </c>
    </row>
    <row r="29" spans="1:4" x14ac:dyDescent="0.2">
      <c r="A29" s="4" t="str">
        <f>_xlfn.CONCAT(All!A29, " - Assets")</f>
        <v>Investments-Equity Method - Assets</v>
      </c>
      <c r="B29" s="3" t="str">
        <f>_xlfn.CONCAT(All!B27, " - Liabilities")</f>
        <v>Lease Liability - Liabilities</v>
      </c>
      <c r="C29" s="3" t="str">
        <f>_xlfn.CONCAT(All!C27, " - Expense")</f>
        <v>Interest Costs - Expense</v>
      </c>
    </row>
    <row r="30" spans="1:4" x14ac:dyDescent="0.2">
      <c r="A30" s="4" t="str">
        <f>_xlfn.CONCAT(All!A30, " - Assets")</f>
        <v>Investments-Trading Securities - Assets</v>
      </c>
      <c r="B30" s="3" t="str">
        <f>_xlfn.CONCAT(All!B28, " - Liabilities")</f>
        <v>Legal Fees Payable - Liabilities</v>
      </c>
      <c r="C30" s="2" t="str">
        <f>_xlfn.CONCAT(All!C28, " - Expense")</f>
        <v>IT Costs - Expense</v>
      </c>
    </row>
    <row r="31" spans="1:4" x14ac:dyDescent="0.2">
      <c r="A31" s="3" t="str">
        <f>_xlfn.CONCAT(All!A31, " - Assets")</f>
        <v>Land - Assets</v>
      </c>
      <c r="B31" s="2" t="str">
        <f>_xlfn.CONCAT(All!B29, " - Liabilities")</f>
        <v>Line of Credit Payable - Liabilities</v>
      </c>
      <c r="C31" s="4" t="str">
        <f>_xlfn.CONCAT(All!C29, " - Expense")</f>
        <v>Legal Fees - Expense</v>
      </c>
    </row>
    <row r="32" spans="1:4" x14ac:dyDescent="0.2">
      <c r="A32" s="2" t="str">
        <f>_xlfn.CONCAT(All!A32, " - Assets")</f>
        <v>Leased Assets - Assets</v>
      </c>
      <c r="B32" s="3" t="str">
        <f>_xlfn.CONCAT(All!B30, " - Liabilities")</f>
        <v>Loans Payable - Liabilities</v>
      </c>
      <c r="C32" s="2" t="str">
        <f>_xlfn.CONCAT(All!C30, " - Expense")</f>
        <v>License Fees and Taxes - Expense</v>
      </c>
    </row>
    <row r="33" spans="1:3" x14ac:dyDescent="0.2">
      <c r="A33" s="3" t="str">
        <f>_xlfn.CONCAT(All!A33, " - Assets")</f>
        <v>Leasehold Improvements - Assets</v>
      </c>
      <c r="B33" s="3" t="str">
        <f>_xlfn.CONCAT(All!B31, " - Liabilities")</f>
        <v>Medicare Taxes Payable - Liabilities</v>
      </c>
      <c r="C33" s="2" t="str">
        <f>_xlfn.CONCAT(All!C31, " - Expense")</f>
        <v>Loss from Impairment - Expense</v>
      </c>
    </row>
    <row r="34" spans="1:3" x14ac:dyDescent="0.2">
      <c r="A34" s="4" t="str">
        <f>_xlfn.CONCAT(All!A34, " - Assets")</f>
        <v>Marketable Securities - Assets</v>
      </c>
      <c r="B34" s="3" t="str">
        <f>_xlfn.CONCAT(All!B32, " - Liabilities")</f>
        <v>Mortgage Payable - Liabilities</v>
      </c>
      <c r="C34" s="2" t="str">
        <f>_xlfn.CONCAT(All!C32, " - Expense")</f>
        <v>Loss on Disposal of Property,Plant, &amp; Equipment - Expense</v>
      </c>
    </row>
    <row r="35" spans="1:3" x14ac:dyDescent="0.2">
      <c r="A35" s="2" t="str">
        <f>_xlfn.CONCAT(All!A35, " - Assets")</f>
        <v>Money Market Accounts - Assets</v>
      </c>
      <c r="B35" s="4" t="str">
        <f>_xlfn.CONCAT(All!B33, " - Liabilities")</f>
        <v>Notes Payable - Liabilities</v>
      </c>
      <c r="C35" s="3" t="str">
        <f>_xlfn.CONCAT(All!C33, " - Expense")</f>
        <v>Loss on Sale of Intangibles - Expense</v>
      </c>
    </row>
    <row r="36" spans="1:3" x14ac:dyDescent="0.2">
      <c r="A36" s="4" t="str">
        <f>_xlfn.CONCAT(All!A36, " - Assets")</f>
        <v>Natural Resources - Assets</v>
      </c>
      <c r="B36" s="4" t="str">
        <f>_xlfn.CONCAT(All!B34, " - Liabilities")</f>
        <v>Payroll Taxes Payable - Liabilities</v>
      </c>
      <c r="C36" s="2" t="str">
        <f>_xlfn.CONCAT(All!C34, " - Expense")</f>
        <v>Loss on Sale of Investments - Expense</v>
      </c>
    </row>
    <row r="37" spans="1:3" x14ac:dyDescent="0.2">
      <c r="A37" s="3" t="str">
        <f>_xlfn.CONCAT(All!A37, " - Assets")</f>
        <v>Notes Receivable - Assets</v>
      </c>
      <c r="B37" s="2" t="str">
        <f>_xlfn.CONCAT(All!B35, " - Liabilities")</f>
        <v>Premium on Bonds Payable - Liabilities</v>
      </c>
      <c r="C37" s="3" t="str">
        <f>_xlfn.CONCAT(All!C35, " - Expense")</f>
        <v>Meals Costs - Expense</v>
      </c>
    </row>
    <row r="38" spans="1:3" x14ac:dyDescent="0.2">
      <c r="A38" s="3" t="str">
        <f>_xlfn.CONCAT(All!A38, " - Assets")</f>
        <v>Office Equipment - Assets</v>
      </c>
      <c r="B38" s="4" t="str">
        <f>_xlfn.CONCAT(All!B36, " - Liabilities")</f>
        <v>Premium on Notes Payable - Liabilities</v>
      </c>
      <c r="C38" s="2" t="str">
        <f>_xlfn.CONCAT(All!C36, " - Expense")</f>
        <v>Medicare Taxes Cost - Expense</v>
      </c>
    </row>
    <row r="39" spans="1:3" x14ac:dyDescent="0.2">
      <c r="A39" s="3" t="str">
        <f>_xlfn.CONCAT(All!A39, " - Assets")</f>
        <v>Patents - Assets</v>
      </c>
      <c r="B39" s="3" t="str">
        <f>_xlfn.CONCAT(All!B37, " - Liabilities")</f>
        <v>Property Taxes Payable - Liabilities</v>
      </c>
      <c r="C39" s="4" t="str">
        <f>_xlfn.CONCAT(All!C37, " - Expense")</f>
        <v>Miscellaneous Costs - Expense</v>
      </c>
    </row>
    <row r="40" spans="1:3" x14ac:dyDescent="0.2">
      <c r="A40" s="3" t="str">
        <f>_xlfn.CONCAT(All!A40, " - Assets")</f>
        <v>Petty Cash - Assets</v>
      </c>
      <c r="B40" s="3" t="str">
        <f>_xlfn.CONCAT(All!B38, " - Liabilities")</f>
        <v>Provision for Lawsuit - Liabilities</v>
      </c>
      <c r="C40" s="3" t="str">
        <f>_xlfn.CONCAT(All!C38, " - Expense")</f>
        <v>Office Rent Fees - Expense</v>
      </c>
    </row>
    <row r="41" spans="1:3" x14ac:dyDescent="0.2">
      <c r="A41" s="2" t="str">
        <f>_xlfn.CONCAT(All!A41, " - Assets")</f>
        <v>Prepaid Advertising - Assets</v>
      </c>
      <c r="B41" s="4" t="str">
        <f>_xlfn.CONCAT(All!B39, " - Liabilities")</f>
        <v>Rent Payable - Liabilities</v>
      </c>
      <c r="C41" s="2" t="str">
        <f>_xlfn.CONCAT(All!C39, " - Expense")</f>
        <v>Organizational Costs - Expense</v>
      </c>
    </row>
    <row r="42" spans="1:3" x14ac:dyDescent="0.2">
      <c r="A42" s="3" t="str">
        <f>_xlfn.CONCAT(All!A42, " - Assets")</f>
        <v>Prepaid Insurance - Assets</v>
      </c>
      <c r="B42" s="4" t="str">
        <f>_xlfn.CONCAT(All!B40, " - Liabilities")</f>
        <v>Repair &amp; Maintenance Payable - Liabilities</v>
      </c>
      <c r="C42" s="3" t="str">
        <f>_xlfn.CONCAT(All!C40, " - Expense")</f>
        <v>Other Costs - Expense</v>
      </c>
    </row>
    <row r="43" spans="1:3" x14ac:dyDescent="0.2">
      <c r="A43" s="3" t="str">
        <f>_xlfn.CONCAT(All!A43, " - Assets")</f>
        <v>Prepaid Office Supplies - Assets</v>
      </c>
      <c r="B43" s="3" t="str">
        <f>_xlfn.CONCAT(All!B41, " - Liabilities")</f>
        <v>Revenue Received in Advance - Liabilities</v>
      </c>
      <c r="C43" s="2" t="str">
        <f>_xlfn.CONCAT(All!C41, " - Expense")</f>
        <v>Penalties and Fines - Expense</v>
      </c>
    </row>
    <row r="44" spans="1:3" x14ac:dyDescent="0.2">
      <c r="A44" s="3" t="str">
        <f>_xlfn.CONCAT(All!A44, " - Assets")</f>
        <v>Prepaid Rent - Assets</v>
      </c>
      <c r="B44" s="3" t="str">
        <f>_xlfn.CONCAT(All!B42, " - Liabilities")</f>
        <v>Royalties Payable - Liabilities</v>
      </c>
      <c r="C44" s="2" t="str">
        <f>_xlfn.CONCAT(All!C42, " - Expense")</f>
        <v>Postage Costs - Expense</v>
      </c>
    </row>
    <row r="45" spans="1:3" x14ac:dyDescent="0.2">
      <c r="A45" s="3" t="e">
        <f>_xlfn.CONCAT(All!#REF!, " - Assets")</f>
        <v>#REF!</v>
      </c>
      <c r="B45" s="3" t="str">
        <f>_xlfn.CONCAT(All!B43, " - Liabilities")</f>
        <v>Salaries Payable - Liabilities</v>
      </c>
      <c r="C45" s="4" t="str">
        <f>_xlfn.CONCAT(All!C68, " - Expense")</f>
        <v>Warranty Costs - Expense</v>
      </c>
    </row>
    <row r="46" spans="1:3" x14ac:dyDescent="0.2">
      <c r="A46" s="3" t="str">
        <f>_xlfn.CONCAT(All!A45, " - Assets")</f>
        <v>Prepaid Repairs &amp; Maintenance - Assets</v>
      </c>
      <c r="B46" s="2" t="str">
        <f>_xlfn.CONCAT(All!B44, " - Liabilities")</f>
        <v>Sales Taxes Payable - Liabilities</v>
      </c>
      <c r="C46" s="4" t="str">
        <f>_xlfn.CONCAT(All!C43, " - Expense")</f>
        <v>Promotional Materials Costs - Expense</v>
      </c>
    </row>
    <row r="47" spans="1:3" x14ac:dyDescent="0.2">
      <c r="A47" s="3" t="str">
        <f>_xlfn.CONCAT(All!A46, " - Assets")</f>
        <v>Prepaid Security Services - Assets</v>
      </c>
      <c r="B47" s="2" t="str">
        <f>_xlfn.CONCAT(All!B58, " - Liabilities")</f>
        <v>Warranty Liability - Liabilities</v>
      </c>
      <c r="C47" s="4" t="str">
        <f>_xlfn.CONCAT(All!C69, " - Expense")</f>
        <v>Water Fees - Expense</v>
      </c>
    </row>
    <row r="48" spans="1:3" x14ac:dyDescent="0.2">
      <c r="A48" s="3" t="str">
        <f>_xlfn.CONCAT(All!A47, " - Assets")</f>
        <v>Prepaid Subscriptions - Assets</v>
      </c>
      <c r="B48" s="2" t="str">
        <f>_xlfn.CONCAT(All!B45, " - Liabilities")</f>
        <v>Short-Term Notes Payable - Liabilities</v>
      </c>
      <c r="C48" s="2" t="str">
        <f>_xlfn.CONCAT(All!C44, " - Expense")</f>
        <v>Property Tax Fees - Expense</v>
      </c>
    </row>
    <row r="49" spans="1:3" x14ac:dyDescent="0.2">
      <c r="A49" s="3" t="str">
        <f>_xlfn.CONCAT(All!A48, " - Assets")</f>
        <v>Raw Materials Inventory - Assets</v>
      </c>
      <c r="B49" s="2" t="str">
        <f>_xlfn.CONCAT(All!B46, " - Liabilities")</f>
        <v>Social Security Taxes Payable - Liabilities</v>
      </c>
      <c r="C49" s="3" t="str">
        <f>_xlfn.CONCAT(All!C45, " - Expense")</f>
        <v>Purchase Allowances - Expense</v>
      </c>
    </row>
    <row r="50" spans="1:3" x14ac:dyDescent="0.2">
      <c r="A50" s="2" t="str">
        <f>_xlfn.CONCAT(All!A49, " - Assets")</f>
        <v>Rent Receivable - Assets</v>
      </c>
      <c r="B50" s="2" t="str">
        <f>_xlfn.CONCAT(All!B47, " - Liabilities")</f>
        <v>State Unemployment Taxes Payable - Liabilities</v>
      </c>
      <c r="C50" s="4" t="str">
        <f>_xlfn.CONCAT(All!C46, " - Expense")</f>
        <v>Purchases - Expense</v>
      </c>
    </row>
    <row r="51" spans="1:3" x14ac:dyDescent="0.2">
      <c r="A51" s="3" t="str">
        <f>_xlfn.CONCAT(All!A50, " - Assets")</f>
        <v>Savings Accounts - Assets</v>
      </c>
      <c r="B51" s="2" t="str">
        <f>_xlfn.CONCAT(All!B48, " - Liabilities")</f>
        <v>Unearned Consulting Fees - Liabilities</v>
      </c>
      <c r="C51" s="2" t="str">
        <f>_xlfn.CONCAT(All!C47, " - Expense")</f>
        <v>Purchases Discounts - Expense</v>
      </c>
    </row>
    <row r="52" spans="1:3" x14ac:dyDescent="0.2">
      <c r="A52" s="2" t="str">
        <f>_xlfn.CONCAT(All!A51, " - Assets")</f>
        <v>Service Equipment - Assets</v>
      </c>
      <c r="B52" s="2" t="str">
        <f>_xlfn.CONCAT(All!B49, " - Liabilities")</f>
        <v>Unearned Legal Fees - Liabilities</v>
      </c>
      <c r="C52" s="3" t="str">
        <f>_xlfn.CONCAT(All!C48, " - Expense")</f>
        <v>Rent Fees - Expense</v>
      </c>
    </row>
    <row r="53" spans="1:3" x14ac:dyDescent="0.2">
      <c r="A53" s="2" t="str">
        <f>_xlfn.CONCAT(All!A52, " - Assets")</f>
        <v>Short-Term Bonds Receivable - Assets</v>
      </c>
      <c r="B53" s="2" t="str">
        <f>_xlfn.CONCAT(All!B50, " - Liabilities")</f>
        <v>Unearned Rent Revenue - Liabilities</v>
      </c>
      <c r="C53" s="2" t="str">
        <f>_xlfn.CONCAT(All!C49, " - Expense")</f>
        <v>Repairs &amp; Maintenance Costs - Expense</v>
      </c>
    </row>
    <row r="54" spans="1:3" x14ac:dyDescent="0.2">
      <c r="A54" s="2" t="str">
        <f>_xlfn.CONCAT(All!A53, " - Assets")</f>
        <v>Supplies Inventory - Assets</v>
      </c>
      <c r="B54" s="2" t="str">
        <f>_xlfn.CONCAT(All!B51, " - Liabilities")</f>
        <v>Unearned Revenues - Liabilities</v>
      </c>
      <c r="C54" s="2" t="str">
        <f>_xlfn.CONCAT(All!C50, " - Expense")</f>
        <v>Research and Development Costs - Expense</v>
      </c>
    </row>
    <row r="55" spans="1:3" x14ac:dyDescent="0.2">
      <c r="A55" s="2" t="str">
        <f>_xlfn.CONCAT(All!A54, " - Assets")</f>
        <v>Tax Refund Receivable - Assets</v>
      </c>
      <c r="B55" s="2" t="str">
        <f>_xlfn.CONCAT(All!B52, " - Liabilities")</f>
        <v>Unearned Sales Revenue - Liabilities</v>
      </c>
      <c r="C55" s="3" t="str">
        <f>_xlfn.CONCAT(All!C51, " - Expense")</f>
        <v>Royalties Paid - Expense</v>
      </c>
    </row>
    <row r="56" spans="1:3" x14ac:dyDescent="0.2">
      <c r="A56" s="4" t="str">
        <f>_xlfn.CONCAT(All!A55, " - Assets")</f>
        <v>Trademark - Assets</v>
      </c>
      <c r="B56" s="3" t="str">
        <f>_xlfn.CONCAT(All!B53, " - Liabilities")</f>
        <v>Unearned Service Revenue - Liabilities</v>
      </c>
      <c r="C56" s="2" t="str">
        <f>_xlfn.CONCAT(All!C52, " - Expense")</f>
        <v>Salaries Paid - Expense</v>
      </c>
    </row>
    <row r="57" spans="1:3" x14ac:dyDescent="0.2">
      <c r="A57" s="2" t="str">
        <f>_xlfn.CONCAT(All!A56, " - Assets")</f>
        <v>Trading Securities - Assets</v>
      </c>
      <c r="B57" s="2" t="str">
        <f>_xlfn.CONCAT(All!B54, " - Liabilities")</f>
        <v>Unemployment Taxes Payable - Liabilities</v>
      </c>
      <c r="C57" s="2" t="str">
        <f>_xlfn.CONCAT(All!C53, " - Expense")</f>
        <v>Security Services Costs - Expense</v>
      </c>
    </row>
    <row r="58" spans="1:3" x14ac:dyDescent="0.2">
      <c r="A58" s="4" t="str">
        <f>_xlfn.CONCAT(All!A57, " - Assets")</f>
        <v>Treasury Bills - Assets</v>
      </c>
      <c r="B58" s="2" t="str">
        <f>_xlfn.CONCAT(All!B55, " - Liabilities")</f>
        <v>Union Dues Payable - Liabilities</v>
      </c>
      <c r="C58" s="3" t="str">
        <f>_xlfn.CONCAT(All!C54, " - Expense")</f>
        <v>Service Charges - Expense</v>
      </c>
    </row>
    <row r="59" spans="1:3" x14ac:dyDescent="0.2">
      <c r="A59" s="4" t="str">
        <f>_xlfn.CONCAT(All!A58, " - Assets")</f>
        <v>Trucks - Assets</v>
      </c>
      <c r="C59" s="3" t="str">
        <f>_xlfn.CONCAT(All!C55, " - Expense")</f>
        <v>Service Supplies Costs - Expense</v>
      </c>
    </row>
    <row r="60" spans="1:3" x14ac:dyDescent="0.2">
      <c r="A60" s="3" t="str">
        <f>_xlfn.CONCAT(All!A59, " - Assets")</f>
        <v>Work-in-Process Inventory - Assets</v>
      </c>
      <c r="C60" s="3" t="str">
        <f>_xlfn.CONCAT(All!C56, " - Expense")</f>
        <v>Social Security Taxes Paid - Expense</v>
      </c>
    </row>
    <row r="61" spans="1:3" x14ac:dyDescent="0.2">
      <c r="C61" s="2" t="str">
        <f>_xlfn.CONCAT(All!C57, " - Expense")</f>
        <v>Software Subscription Costs - Expense</v>
      </c>
    </row>
    <row r="62" spans="1:3" x14ac:dyDescent="0.2">
      <c r="C62" s="2" t="str">
        <f>_xlfn.CONCAT(All!C58, " - Expense")</f>
        <v>Store Supplies Costs - Expense</v>
      </c>
    </row>
    <row r="63" spans="1:3" x14ac:dyDescent="0.2">
      <c r="C63" s="4" t="str">
        <f>_xlfn.CONCAT(All!C59, " - Expense")</f>
        <v>Supplies Costs - Expense</v>
      </c>
    </row>
    <row r="64" spans="1:3" x14ac:dyDescent="0.2">
      <c r="C64" s="3" t="str">
        <f>_xlfn.CONCAT(All!C60, " - Expense")</f>
        <v>Taxes Costs - Expense</v>
      </c>
    </row>
    <row r="65" spans="3:3" x14ac:dyDescent="0.2">
      <c r="C65" s="2" t="str">
        <f>_xlfn.CONCAT(All!C61, " - Expense")</f>
        <v>Trade Show Costs - Expense</v>
      </c>
    </row>
    <row r="66" spans="3:3" x14ac:dyDescent="0.2">
      <c r="C66" s="3" t="str">
        <f>_xlfn.CONCAT(All!C62, " - Expense")</f>
        <v>Training Costs - Expense</v>
      </c>
    </row>
    <row r="67" spans="3:3" x14ac:dyDescent="0.2">
      <c r="C67" s="3" t="str">
        <f>_xlfn.CONCAT(All!C63, " - Expense")</f>
        <v>Transportation-In - Expense</v>
      </c>
    </row>
    <row r="68" spans="3:3" x14ac:dyDescent="0.2">
      <c r="C68" s="3" t="str">
        <f>_xlfn.CONCAT(All!C64, " - Expense")</f>
        <v>Travel Costs - Expense</v>
      </c>
    </row>
    <row r="69" spans="3:3" x14ac:dyDescent="0.2">
      <c r="C69" s="3" t="str">
        <f>_xlfn.CONCAT(All!C65, " - Expense")</f>
        <v>Unemployment Taxes Costs - Expense</v>
      </c>
    </row>
  </sheetData>
  <sortState xmlns:xlrd2="http://schemas.microsoft.com/office/spreadsheetml/2017/richdata2" ref="E3:E13">
    <sortCondition ref="E2:E13"/>
  </sortState>
  <pageMargins left="0.7" right="0.7" top="0.75" bottom="0.75" header="0.3" footer="0.3"/>
  <pageSetup scale="5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6659D-2592-44D3-8367-1B8B2BC81939}">
  <sheetPr codeName="Sheet2">
    <pageSetUpPr fitToPage="1"/>
  </sheetPr>
  <dimension ref="A1:C28"/>
  <sheetViews>
    <sheetView zoomScaleNormal="50" workbookViewId="0">
      <selection activeCell="B21" sqref="B21"/>
    </sheetView>
  </sheetViews>
  <sheetFormatPr baseColWidth="10" defaultColWidth="8.6640625" defaultRowHeight="15" x14ac:dyDescent="0.2"/>
  <cols>
    <col min="1" max="1" width="48.5" bestFit="1" customWidth="1"/>
    <col min="2" max="2" width="33.6640625" bestFit="1" customWidth="1"/>
    <col min="3" max="3" width="44.5" bestFit="1" customWidth="1"/>
  </cols>
  <sheetData>
    <row r="1" spans="1:3" x14ac:dyDescent="0.2">
      <c r="A1" s="1" t="s">
        <v>0</v>
      </c>
      <c r="B1" s="1" t="s">
        <v>1</v>
      </c>
      <c r="C1" s="1" t="s">
        <v>4</v>
      </c>
    </row>
    <row r="2" spans="1:3" x14ac:dyDescent="0.2">
      <c r="A2" s="3" t="s">
        <v>5</v>
      </c>
      <c r="B2" s="3" t="s">
        <v>6</v>
      </c>
      <c r="C2" s="3" t="s">
        <v>34</v>
      </c>
    </row>
    <row r="3" spans="1:3" x14ac:dyDescent="0.2">
      <c r="A3" s="3" t="s">
        <v>45</v>
      </c>
      <c r="B3" s="3" t="s">
        <v>51</v>
      </c>
      <c r="C3" s="3" t="s">
        <v>39</v>
      </c>
    </row>
    <row r="4" spans="1:3" x14ac:dyDescent="0.2">
      <c r="A4" s="3" t="s">
        <v>40</v>
      </c>
      <c r="B4" s="3" t="s">
        <v>31</v>
      </c>
      <c r="C4" s="3" t="s">
        <v>49</v>
      </c>
    </row>
    <row r="5" spans="1:3" x14ac:dyDescent="0.2">
      <c r="A5" s="3" t="s">
        <v>50</v>
      </c>
      <c r="B5" s="3" t="s">
        <v>96</v>
      </c>
    </row>
    <row r="6" spans="1:3" x14ac:dyDescent="0.2">
      <c r="A6" s="3" t="s">
        <v>218</v>
      </c>
      <c r="B6" s="3" t="s">
        <v>102</v>
      </c>
    </row>
    <row r="7" spans="1:3" x14ac:dyDescent="0.2">
      <c r="A7" s="3" t="s">
        <v>65</v>
      </c>
      <c r="B7" s="3" t="s">
        <v>105</v>
      </c>
    </row>
    <row r="8" spans="1:3" x14ac:dyDescent="0.2">
      <c r="A8" s="3" t="s">
        <v>85</v>
      </c>
      <c r="B8" s="3" t="s">
        <v>114</v>
      </c>
    </row>
    <row r="9" spans="1:3" x14ac:dyDescent="0.2">
      <c r="A9" s="3" t="s">
        <v>95</v>
      </c>
      <c r="B9" s="3" t="s">
        <v>117</v>
      </c>
    </row>
    <row r="10" spans="1:3" x14ac:dyDescent="0.2">
      <c r="A10" s="3" t="s">
        <v>98</v>
      </c>
      <c r="B10" s="3" t="s">
        <v>120</v>
      </c>
    </row>
    <row r="11" spans="1:3" x14ac:dyDescent="0.2">
      <c r="A11" s="3" t="s">
        <v>101</v>
      </c>
      <c r="B11" s="3" t="s">
        <v>126</v>
      </c>
    </row>
    <row r="12" spans="1:3" x14ac:dyDescent="0.2">
      <c r="A12" s="3" t="s">
        <v>104</v>
      </c>
      <c r="B12" s="3" t="s">
        <v>129</v>
      </c>
    </row>
    <row r="13" spans="1:3" x14ac:dyDescent="0.2">
      <c r="A13" s="3" t="s">
        <v>110</v>
      </c>
      <c r="B13" s="3" t="s">
        <v>132</v>
      </c>
    </row>
    <row r="14" spans="1:3" x14ac:dyDescent="0.2">
      <c r="A14" s="3" t="s">
        <v>122</v>
      </c>
      <c r="B14" s="3" t="s">
        <v>147</v>
      </c>
    </row>
    <row r="15" spans="1:3" x14ac:dyDescent="0.2">
      <c r="A15" s="3" t="s">
        <v>128</v>
      </c>
      <c r="B15" s="3" t="s">
        <v>150</v>
      </c>
    </row>
    <row r="16" spans="1:3" x14ac:dyDescent="0.2">
      <c r="A16" s="3" t="s">
        <v>140</v>
      </c>
      <c r="B16" s="3" t="s">
        <v>159</v>
      </c>
    </row>
    <row r="17" spans="1:2" x14ac:dyDescent="0.2">
      <c r="A17" s="3" t="s">
        <v>143</v>
      </c>
      <c r="B17" s="3" t="s">
        <v>162</v>
      </c>
    </row>
    <row r="18" spans="1:2" x14ac:dyDescent="0.2">
      <c r="A18" s="3" t="s">
        <v>146</v>
      </c>
      <c r="B18" s="3" t="s">
        <v>165</v>
      </c>
    </row>
    <row r="19" spans="1:2" x14ac:dyDescent="0.2">
      <c r="A19" s="3" t="s">
        <v>152</v>
      </c>
      <c r="B19" s="3" t="s">
        <v>198</v>
      </c>
    </row>
    <row r="20" spans="1:2" x14ac:dyDescent="0.2">
      <c r="A20" s="3" t="s">
        <v>155</v>
      </c>
    </row>
    <row r="21" spans="1:2" x14ac:dyDescent="0.2">
      <c r="A21" s="3" t="s">
        <v>158</v>
      </c>
    </row>
    <row r="22" spans="1:2" x14ac:dyDescent="0.2">
      <c r="A22" s="3" t="s">
        <v>161</v>
      </c>
    </row>
    <row r="23" spans="1:2" x14ac:dyDescent="0.2">
      <c r="A23" s="3" t="s">
        <v>161</v>
      </c>
    </row>
    <row r="24" spans="1:2" x14ac:dyDescent="0.2">
      <c r="A24" s="3" t="s">
        <v>164</v>
      </c>
    </row>
    <row r="25" spans="1:2" x14ac:dyDescent="0.2">
      <c r="A25" s="3" t="s">
        <v>167</v>
      </c>
    </row>
    <row r="26" spans="1:2" x14ac:dyDescent="0.2">
      <c r="A26" s="3" t="s">
        <v>170</v>
      </c>
    </row>
    <row r="27" spans="1:2" x14ac:dyDescent="0.2">
      <c r="A27" s="3" t="s">
        <v>176</v>
      </c>
    </row>
    <row r="28" spans="1:2" x14ac:dyDescent="0.2">
      <c r="A28" s="3" t="s">
        <v>203</v>
      </c>
    </row>
  </sheetData>
  <sortState xmlns:xlrd2="http://schemas.microsoft.com/office/spreadsheetml/2017/richdata2" ref="A2:C28">
    <sortCondition ref="C2:C28"/>
  </sortState>
  <pageMargins left="0.7" right="0.7" top="0.75" bottom="0.75" header="0.3" footer="0.3"/>
  <pageSetup scale="5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25733-6AC2-4ECC-BEE8-AE0EC6AD2EE8}">
  <sheetPr codeName="Sheet3">
    <pageSetUpPr fitToPage="1"/>
  </sheetPr>
  <dimension ref="A1:C39"/>
  <sheetViews>
    <sheetView zoomScaleNormal="100" workbookViewId="0">
      <selection activeCell="C2" sqref="C2:C4"/>
    </sheetView>
  </sheetViews>
  <sheetFormatPr baseColWidth="10" defaultColWidth="8.6640625" defaultRowHeight="15" x14ac:dyDescent="0.2"/>
  <cols>
    <col min="1" max="1" width="48.5" bestFit="1" customWidth="1"/>
    <col min="2" max="2" width="33.6640625" bestFit="1" customWidth="1"/>
    <col min="3" max="3" width="44.5" bestFit="1" customWidth="1"/>
  </cols>
  <sheetData>
    <row r="1" spans="1:3" x14ac:dyDescent="0.2">
      <c r="A1" s="1" t="s">
        <v>0</v>
      </c>
      <c r="B1" s="1" t="s">
        <v>1</v>
      </c>
      <c r="C1" s="1" t="s">
        <v>4</v>
      </c>
    </row>
    <row r="2" spans="1:3" x14ac:dyDescent="0.2">
      <c r="A2" s="3" t="s">
        <v>5</v>
      </c>
      <c r="B2" s="3" t="s">
        <v>6</v>
      </c>
      <c r="C2" s="2" t="s">
        <v>14</v>
      </c>
    </row>
    <row r="3" spans="1:3" x14ac:dyDescent="0.2">
      <c r="A3" s="2" t="s">
        <v>10</v>
      </c>
      <c r="B3" s="2" t="s">
        <v>11</v>
      </c>
      <c r="C3" s="2" t="s">
        <v>19</v>
      </c>
    </row>
    <row r="4" spans="1:3" x14ac:dyDescent="0.2">
      <c r="A4" s="2" t="s">
        <v>15</v>
      </c>
      <c r="B4" s="2" t="s">
        <v>16</v>
      </c>
      <c r="C4" s="2" t="s">
        <v>24</v>
      </c>
    </row>
    <row r="5" spans="1:3" x14ac:dyDescent="0.2">
      <c r="A5" s="2" t="s">
        <v>25</v>
      </c>
      <c r="B5" s="2" t="s">
        <v>21</v>
      </c>
      <c r="C5" s="2" t="s">
        <v>29</v>
      </c>
    </row>
    <row r="6" spans="1:3" x14ac:dyDescent="0.2">
      <c r="A6" s="3" t="s">
        <v>40</v>
      </c>
      <c r="B6" s="2" t="s">
        <v>26</v>
      </c>
      <c r="C6" s="3" t="s">
        <v>34</v>
      </c>
    </row>
    <row r="7" spans="1:3" x14ac:dyDescent="0.2">
      <c r="A7" s="3" t="s">
        <v>45</v>
      </c>
      <c r="B7" s="3" t="s">
        <v>31</v>
      </c>
      <c r="C7" s="3" t="s">
        <v>39</v>
      </c>
    </row>
    <row r="8" spans="1:3" x14ac:dyDescent="0.2">
      <c r="A8" s="2" t="s">
        <v>60</v>
      </c>
      <c r="B8" s="2" t="s">
        <v>41</v>
      </c>
      <c r="C8" s="2" t="s">
        <v>44</v>
      </c>
    </row>
    <row r="9" spans="1:3" x14ac:dyDescent="0.2">
      <c r="A9" s="2" t="s">
        <v>69</v>
      </c>
      <c r="B9" s="2" t="s">
        <v>46</v>
      </c>
      <c r="C9" s="3" t="s">
        <v>49</v>
      </c>
    </row>
    <row r="10" spans="1:3" x14ac:dyDescent="0.2">
      <c r="A10" s="2" t="s">
        <v>73</v>
      </c>
      <c r="B10" s="2" t="s">
        <v>56</v>
      </c>
      <c r="C10" s="2" t="s">
        <v>54</v>
      </c>
    </row>
    <row r="11" spans="1:3" x14ac:dyDescent="0.2">
      <c r="A11" s="2" t="s">
        <v>77</v>
      </c>
      <c r="B11" s="2" t="s">
        <v>61</v>
      </c>
    </row>
    <row r="12" spans="1:3" x14ac:dyDescent="0.2">
      <c r="A12" s="3" t="s">
        <v>85</v>
      </c>
      <c r="B12" s="2" t="s">
        <v>78</v>
      </c>
    </row>
    <row r="13" spans="1:3" x14ac:dyDescent="0.2">
      <c r="A13" s="2" t="s">
        <v>89</v>
      </c>
      <c r="B13" s="2" t="s">
        <v>82</v>
      </c>
    </row>
    <row r="14" spans="1:3" x14ac:dyDescent="0.2">
      <c r="A14" s="2" t="s">
        <v>92</v>
      </c>
      <c r="B14" s="2" t="s">
        <v>86</v>
      </c>
    </row>
    <row r="15" spans="1:3" x14ac:dyDescent="0.2">
      <c r="A15" s="3" t="s">
        <v>98</v>
      </c>
      <c r="B15" s="2" t="s">
        <v>90</v>
      </c>
    </row>
    <row r="16" spans="1:3" x14ac:dyDescent="0.2">
      <c r="A16" s="3" t="s">
        <v>101</v>
      </c>
      <c r="B16" s="2" t="s">
        <v>93</v>
      </c>
    </row>
    <row r="17" spans="1:2" x14ac:dyDescent="0.2">
      <c r="A17" s="3" t="s">
        <v>104</v>
      </c>
      <c r="B17" s="2" t="s">
        <v>99</v>
      </c>
    </row>
    <row r="18" spans="1:2" x14ac:dyDescent="0.2">
      <c r="A18" s="3" t="s">
        <v>110</v>
      </c>
      <c r="B18" s="3" t="s">
        <v>105</v>
      </c>
    </row>
    <row r="19" spans="1:2" x14ac:dyDescent="0.2">
      <c r="A19" s="3" t="s">
        <v>122</v>
      </c>
      <c r="B19" s="2" t="s">
        <v>108</v>
      </c>
    </row>
    <row r="20" spans="1:2" x14ac:dyDescent="0.2">
      <c r="A20" s="2" t="s">
        <v>125</v>
      </c>
      <c r="B20" s="2" t="s">
        <v>111</v>
      </c>
    </row>
    <row r="21" spans="1:2" x14ac:dyDescent="0.2">
      <c r="A21" s="2" t="s">
        <v>134</v>
      </c>
      <c r="B21" s="3" t="s">
        <v>120</v>
      </c>
    </row>
    <row r="22" spans="1:2" x14ac:dyDescent="0.2">
      <c r="A22" s="3" t="s">
        <v>140</v>
      </c>
      <c r="B22" s="2" t="s">
        <v>123</v>
      </c>
    </row>
    <row r="23" spans="1:2" x14ac:dyDescent="0.2">
      <c r="A23" s="3" t="s">
        <v>143</v>
      </c>
      <c r="B23" s="3" t="s">
        <v>126</v>
      </c>
    </row>
    <row r="24" spans="1:2" x14ac:dyDescent="0.2">
      <c r="A24" s="3" t="s">
        <v>146</v>
      </c>
      <c r="B24" s="3" t="s">
        <v>129</v>
      </c>
    </row>
    <row r="25" spans="1:2" x14ac:dyDescent="0.2">
      <c r="A25" s="2" t="s">
        <v>149</v>
      </c>
      <c r="B25" s="2" t="s">
        <v>141</v>
      </c>
    </row>
    <row r="26" spans="1:2" x14ac:dyDescent="0.2">
      <c r="A26" s="3" t="s">
        <v>152</v>
      </c>
      <c r="B26" s="3" t="s">
        <v>147</v>
      </c>
    </row>
    <row r="27" spans="1:2" x14ac:dyDescent="0.2">
      <c r="A27" s="3" t="s">
        <v>155</v>
      </c>
      <c r="B27" s="3" t="s">
        <v>159</v>
      </c>
    </row>
    <row r="28" spans="1:2" x14ac:dyDescent="0.2">
      <c r="A28" s="2" t="s">
        <v>173</v>
      </c>
      <c r="B28" s="2" t="s">
        <v>168</v>
      </c>
    </row>
    <row r="29" spans="1:2" x14ac:dyDescent="0.2">
      <c r="A29" s="2" t="s">
        <v>179</v>
      </c>
      <c r="B29" s="2" t="s">
        <v>171</v>
      </c>
    </row>
    <row r="30" spans="1:2" x14ac:dyDescent="0.2">
      <c r="A30" s="2" t="s">
        <v>182</v>
      </c>
      <c r="B30" s="2" t="s">
        <v>174</v>
      </c>
    </row>
    <row r="31" spans="1:2" x14ac:dyDescent="0.2">
      <c r="A31" s="2" t="s">
        <v>185</v>
      </c>
      <c r="B31" s="2" t="s">
        <v>177</v>
      </c>
    </row>
    <row r="32" spans="1:2" x14ac:dyDescent="0.2">
      <c r="A32" s="2" t="s">
        <v>188</v>
      </c>
      <c r="B32" s="2" t="s">
        <v>180</v>
      </c>
    </row>
    <row r="33" spans="1:2" x14ac:dyDescent="0.2">
      <c r="A33" s="2" t="s">
        <v>194</v>
      </c>
      <c r="B33" s="2" t="s">
        <v>183</v>
      </c>
    </row>
    <row r="34" spans="1:2" x14ac:dyDescent="0.2">
      <c r="A34" s="2" t="s">
        <v>206</v>
      </c>
      <c r="B34" s="2" t="s">
        <v>186</v>
      </c>
    </row>
    <row r="35" spans="1:2" x14ac:dyDescent="0.2">
      <c r="B35" s="2" t="s">
        <v>189</v>
      </c>
    </row>
    <row r="36" spans="1:2" x14ac:dyDescent="0.2">
      <c r="B36" s="2" t="s">
        <v>192</v>
      </c>
    </row>
    <row r="37" spans="1:2" x14ac:dyDescent="0.2">
      <c r="B37" s="2" t="s">
        <v>195</v>
      </c>
    </row>
    <row r="38" spans="1:2" x14ac:dyDescent="0.2">
      <c r="B38" s="2" t="s">
        <v>201</v>
      </c>
    </row>
    <row r="39" spans="1:2" x14ac:dyDescent="0.2">
      <c r="B39" s="2" t="s">
        <v>204</v>
      </c>
    </row>
  </sheetData>
  <sortState xmlns:xlrd2="http://schemas.microsoft.com/office/spreadsheetml/2017/richdata2" ref="C2:C10">
    <sortCondition ref="C2:C10"/>
  </sortState>
  <pageMargins left="0.7" right="0.7" top="0.75" bottom="0.75" header="0.3" footer="0.3"/>
  <pageSetup scale="5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F9E66-309C-4B72-A361-8CC582DC23DD}">
  <sheetPr codeName="Sheet4">
    <pageSetUpPr fitToPage="1"/>
  </sheetPr>
  <dimension ref="A1:C36"/>
  <sheetViews>
    <sheetView zoomScaleNormal="100" workbookViewId="0">
      <selection activeCell="C24" sqref="C24"/>
    </sheetView>
  </sheetViews>
  <sheetFormatPr baseColWidth="10" defaultColWidth="8.6640625" defaultRowHeight="15" x14ac:dyDescent="0.2"/>
  <cols>
    <col min="1" max="1" width="48.5" bestFit="1" customWidth="1"/>
    <col min="2" max="2" width="33.6640625" bestFit="1" customWidth="1"/>
    <col min="3" max="3" width="44.5" bestFit="1" customWidth="1"/>
  </cols>
  <sheetData>
    <row r="1" spans="1:3" x14ac:dyDescent="0.2">
      <c r="A1" s="1" t="s">
        <v>0</v>
      </c>
      <c r="B1" s="1" t="s">
        <v>1</v>
      </c>
      <c r="C1" s="1" t="s">
        <v>4</v>
      </c>
    </row>
    <row r="2" spans="1:3" x14ac:dyDescent="0.2">
      <c r="A2" s="3" t="s">
        <v>5</v>
      </c>
      <c r="B2" s="3" t="s">
        <v>6</v>
      </c>
      <c r="C2" s="4" t="s">
        <v>9</v>
      </c>
    </row>
    <row r="3" spans="1:3" x14ac:dyDescent="0.2">
      <c r="A3" s="2" t="s">
        <v>10</v>
      </c>
      <c r="B3" s="2" t="s">
        <v>11</v>
      </c>
      <c r="C3" s="2" t="s">
        <v>14</v>
      </c>
    </row>
    <row r="4" spans="1:3" x14ac:dyDescent="0.2">
      <c r="A4" s="2" t="s">
        <v>15</v>
      </c>
      <c r="B4" s="2" t="s">
        <v>16</v>
      </c>
      <c r="C4" s="2" t="s">
        <v>19</v>
      </c>
    </row>
    <row r="5" spans="1:3" x14ac:dyDescent="0.2">
      <c r="A5" s="4" t="s">
        <v>20</v>
      </c>
      <c r="B5" s="3" t="s">
        <v>31</v>
      </c>
      <c r="C5" s="2" t="s">
        <v>24</v>
      </c>
    </row>
    <row r="6" spans="1:3" x14ac:dyDescent="0.2">
      <c r="A6" s="2" t="s">
        <v>25</v>
      </c>
      <c r="B6" s="4" t="s">
        <v>36</v>
      </c>
      <c r="C6" s="2" t="s">
        <v>29</v>
      </c>
    </row>
    <row r="7" spans="1:3" x14ac:dyDescent="0.2">
      <c r="A7" s="4" t="s">
        <v>30</v>
      </c>
      <c r="B7" s="3" t="s">
        <v>51</v>
      </c>
      <c r="C7" s="3" t="s">
        <v>34</v>
      </c>
    </row>
    <row r="8" spans="1:3" x14ac:dyDescent="0.2">
      <c r="A8" s="4" t="s">
        <v>35</v>
      </c>
      <c r="B8" s="2" t="s">
        <v>56</v>
      </c>
      <c r="C8" s="3" t="s">
        <v>39</v>
      </c>
    </row>
    <row r="9" spans="1:3" x14ac:dyDescent="0.2">
      <c r="A9" s="3" t="s">
        <v>40</v>
      </c>
      <c r="B9" s="2" t="s">
        <v>61</v>
      </c>
      <c r="C9" s="2" t="s">
        <v>44</v>
      </c>
    </row>
    <row r="10" spans="1:3" x14ac:dyDescent="0.2">
      <c r="A10" s="3" t="s">
        <v>45</v>
      </c>
      <c r="B10" s="4" t="s">
        <v>66</v>
      </c>
      <c r="C10" s="3" t="s">
        <v>49</v>
      </c>
    </row>
    <row r="11" spans="1:3" x14ac:dyDescent="0.2">
      <c r="A11" s="4" t="s">
        <v>55</v>
      </c>
      <c r="B11" s="4" t="s">
        <v>70</v>
      </c>
      <c r="C11" s="2" t="s">
        <v>54</v>
      </c>
    </row>
    <row r="12" spans="1:3" x14ac:dyDescent="0.2">
      <c r="A12" s="2" t="s">
        <v>73</v>
      </c>
      <c r="B12" s="4" t="s">
        <v>74</v>
      </c>
      <c r="C12" s="4" t="s">
        <v>59</v>
      </c>
    </row>
    <row r="13" spans="1:3" x14ac:dyDescent="0.2">
      <c r="A13" s="2" t="s">
        <v>77</v>
      </c>
      <c r="B13" s="2" t="s">
        <v>99</v>
      </c>
      <c r="C13" s="4" t="s">
        <v>64</v>
      </c>
    </row>
    <row r="14" spans="1:3" x14ac:dyDescent="0.2">
      <c r="A14" s="4" t="s">
        <v>81</v>
      </c>
      <c r="B14" s="3" t="s">
        <v>105</v>
      </c>
    </row>
    <row r="15" spans="1:3" x14ac:dyDescent="0.2">
      <c r="A15" s="2" t="s">
        <v>92</v>
      </c>
      <c r="B15" s="2" t="s">
        <v>111</v>
      </c>
    </row>
    <row r="16" spans="1:3" x14ac:dyDescent="0.2">
      <c r="A16" s="3" t="s">
        <v>98</v>
      </c>
      <c r="B16" s="2" t="s">
        <v>125</v>
      </c>
    </row>
    <row r="17" spans="1:2" x14ac:dyDescent="0.2">
      <c r="A17" s="3" t="s">
        <v>101</v>
      </c>
      <c r="B17" s="3" t="s">
        <v>117</v>
      </c>
    </row>
    <row r="18" spans="1:2" x14ac:dyDescent="0.2">
      <c r="A18" s="4" t="s">
        <v>107</v>
      </c>
      <c r="B18" s="3" t="s">
        <v>120</v>
      </c>
    </row>
    <row r="19" spans="1:2" x14ac:dyDescent="0.2">
      <c r="A19" s="3" t="s">
        <v>110</v>
      </c>
      <c r="B19" s="2" t="s">
        <v>123</v>
      </c>
    </row>
    <row r="20" spans="1:2" x14ac:dyDescent="0.2">
      <c r="A20" s="4" t="s">
        <v>113</v>
      </c>
      <c r="B20" s="3" t="s">
        <v>126</v>
      </c>
    </row>
    <row r="21" spans="1:2" x14ac:dyDescent="0.2">
      <c r="A21" s="4" t="s">
        <v>116</v>
      </c>
      <c r="B21" s="3" t="s">
        <v>129</v>
      </c>
    </row>
    <row r="22" spans="1:2" x14ac:dyDescent="0.2">
      <c r="A22" s="4" t="s">
        <v>119</v>
      </c>
      <c r="B22" s="4" t="s">
        <v>135</v>
      </c>
    </row>
    <row r="23" spans="1:2" x14ac:dyDescent="0.2">
      <c r="A23" s="4" t="s">
        <v>131</v>
      </c>
      <c r="B23" s="4" t="s">
        <v>138</v>
      </c>
    </row>
    <row r="24" spans="1:2" x14ac:dyDescent="0.2">
      <c r="A24" s="4" t="s">
        <v>137</v>
      </c>
      <c r="B24" s="2" t="s">
        <v>141</v>
      </c>
    </row>
    <row r="25" spans="1:2" x14ac:dyDescent="0.2">
      <c r="A25" s="3" t="s">
        <v>140</v>
      </c>
      <c r="B25" s="4" t="s">
        <v>144</v>
      </c>
    </row>
    <row r="26" spans="1:2" x14ac:dyDescent="0.2">
      <c r="A26" s="3" t="s">
        <v>143</v>
      </c>
      <c r="B26" s="3" t="s">
        <v>147</v>
      </c>
    </row>
    <row r="27" spans="1:2" x14ac:dyDescent="0.2">
      <c r="A27" s="3" t="s">
        <v>146</v>
      </c>
      <c r="B27" s="3" t="s">
        <v>150</v>
      </c>
    </row>
    <row r="28" spans="1:2" x14ac:dyDescent="0.2">
      <c r="A28" s="3" t="s">
        <v>155</v>
      </c>
      <c r="B28" s="4" t="s">
        <v>153</v>
      </c>
    </row>
    <row r="29" spans="1:2" x14ac:dyDescent="0.2">
      <c r="A29" s="3" t="s">
        <v>161</v>
      </c>
      <c r="B29" s="4" t="s">
        <v>156</v>
      </c>
    </row>
    <row r="30" spans="1:2" x14ac:dyDescent="0.2">
      <c r="A30" s="3" t="s">
        <v>170</v>
      </c>
      <c r="B30" s="3" t="s">
        <v>159</v>
      </c>
    </row>
    <row r="31" spans="1:2" x14ac:dyDescent="0.2">
      <c r="A31" s="2" t="s">
        <v>182</v>
      </c>
      <c r="B31" s="3" t="s">
        <v>162</v>
      </c>
    </row>
    <row r="32" spans="1:2" x14ac:dyDescent="0.2">
      <c r="A32" s="4" t="s">
        <v>191</v>
      </c>
      <c r="B32" s="3" t="s">
        <v>165</v>
      </c>
    </row>
    <row r="33" spans="1:2" x14ac:dyDescent="0.2">
      <c r="A33" s="2" t="s">
        <v>194</v>
      </c>
      <c r="B33" s="2" t="s">
        <v>183</v>
      </c>
    </row>
    <row r="34" spans="1:2" x14ac:dyDescent="0.2">
      <c r="A34" s="4" t="s">
        <v>197</v>
      </c>
      <c r="B34" s="2" t="s">
        <v>186</v>
      </c>
    </row>
    <row r="35" spans="1:2" x14ac:dyDescent="0.2">
      <c r="A35" s="4" t="s">
        <v>200</v>
      </c>
      <c r="B35" s="3" t="s">
        <v>198</v>
      </c>
    </row>
    <row r="36" spans="1:2" x14ac:dyDescent="0.2">
      <c r="B36" s="2" t="s">
        <v>204</v>
      </c>
    </row>
  </sheetData>
  <sortState xmlns:xlrd2="http://schemas.microsoft.com/office/spreadsheetml/2017/richdata2" ref="C3:C13">
    <sortCondition ref="C13"/>
  </sortState>
  <pageMargins left="0.7" right="0.7" top="0.75" bottom="0.75" header="0.3" footer="0.3"/>
  <pageSetup scale="5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1CF79-BCDE-4878-8F00-4D38AD3F5141}">
  <sheetPr codeName="Sheet5">
    <pageSetUpPr fitToPage="1"/>
  </sheetPr>
  <dimension ref="A1:B28"/>
  <sheetViews>
    <sheetView zoomScaleNormal="100" workbookViewId="0">
      <selection activeCell="B3" sqref="B3"/>
    </sheetView>
  </sheetViews>
  <sheetFormatPr baseColWidth="10" defaultColWidth="8.6640625" defaultRowHeight="15" x14ac:dyDescent="0.2"/>
  <cols>
    <col min="1" max="1" width="39.33203125" bestFit="1" customWidth="1"/>
    <col min="2" max="2" width="40.1640625" bestFit="1" customWidth="1"/>
  </cols>
  <sheetData>
    <row r="1" spans="1:2" x14ac:dyDescent="0.2">
      <c r="A1" s="1" t="s">
        <v>2</v>
      </c>
      <c r="B1" s="1" t="s">
        <v>3</v>
      </c>
    </row>
    <row r="2" spans="1:2" x14ac:dyDescent="0.2">
      <c r="A2" s="3" t="s">
        <v>219</v>
      </c>
      <c r="B2" s="3" t="s">
        <v>220</v>
      </c>
    </row>
    <row r="3" spans="1:2" x14ac:dyDescent="0.2">
      <c r="A3" s="3" t="s">
        <v>221</v>
      </c>
      <c r="B3" s="3" t="s">
        <v>222</v>
      </c>
    </row>
    <row r="4" spans="1:2" x14ac:dyDescent="0.2">
      <c r="A4" s="3" t="s">
        <v>37</v>
      </c>
      <c r="B4" s="3" t="s">
        <v>223</v>
      </c>
    </row>
    <row r="5" spans="1:2" x14ac:dyDescent="0.2">
      <c r="A5" s="3" t="s">
        <v>42</v>
      </c>
      <c r="B5" s="3" t="s">
        <v>76</v>
      </c>
    </row>
    <row r="6" spans="1:2" x14ac:dyDescent="0.2">
      <c r="A6" s="3" t="s">
        <v>52</v>
      </c>
      <c r="B6" s="3" t="s">
        <v>224</v>
      </c>
    </row>
    <row r="7" spans="1:2" x14ac:dyDescent="0.2">
      <c r="A7" s="3" t="s">
        <v>83</v>
      </c>
    </row>
    <row r="8" spans="1:2" x14ac:dyDescent="0.2">
      <c r="A8" s="3" t="s">
        <v>87</v>
      </c>
    </row>
    <row r="9" spans="1:2" x14ac:dyDescent="0.2">
      <c r="A9" s="3" t="s">
        <v>94</v>
      </c>
    </row>
    <row r="10" spans="1:2" x14ac:dyDescent="0.2">
      <c r="A10" s="3" t="s">
        <v>225</v>
      </c>
    </row>
    <row r="11" spans="1:2" x14ac:dyDescent="0.2">
      <c r="A11" s="3" t="s">
        <v>103</v>
      </c>
    </row>
    <row r="12" spans="1:2" x14ac:dyDescent="0.2">
      <c r="A12" s="3" t="s">
        <v>109</v>
      </c>
    </row>
    <row r="13" spans="1:2" x14ac:dyDescent="0.2">
      <c r="A13" s="3" t="s">
        <v>112</v>
      </c>
    </row>
    <row r="14" spans="1:2" x14ac:dyDescent="0.2">
      <c r="A14" s="3" t="s">
        <v>118</v>
      </c>
    </row>
    <row r="15" spans="1:2" x14ac:dyDescent="0.2">
      <c r="A15" s="3" t="s">
        <v>136</v>
      </c>
    </row>
    <row r="16" spans="1:2" x14ac:dyDescent="0.2">
      <c r="A16" s="3" t="s">
        <v>142</v>
      </c>
    </row>
    <row r="17" spans="1:1" x14ac:dyDescent="0.2">
      <c r="A17" s="3" t="s">
        <v>226</v>
      </c>
    </row>
    <row r="18" spans="1:1" x14ac:dyDescent="0.2">
      <c r="A18" s="3" t="s">
        <v>178</v>
      </c>
    </row>
    <row r="19" spans="1:1" x14ac:dyDescent="0.2">
      <c r="A19" s="3" t="s">
        <v>227</v>
      </c>
    </row>
    <row r="20" spans="1:1" x14ac:dyDescent="0.2">
      <c r="A20" s="3" t="s">
        <v>196</v>
      </c>
    </row>
    <row r="21" spans="1:1" x14ac:dyDescent="0.2">
      <c r="A21" s="3" t="s">
        <v>205</v>
      </c>
    </row>
    <row r="22" spans="1:1" x14ac:dyDescent="0.2">
      <c r="A22" s="3" t="s">
        <v>207</v>
      </c>
    </row>
    <row r="23" spans="1:1" x14ac:dyDescent="0.2">
      <c r="A23" s="3" t="s">
        <v>228</v>
      </c>
    </row>
    <row r="24" spans="1:1" x14ac:dyDescent="0.2">
      <c r="A24" s="3" t="s">
        <v>212</v>
      </c>
    </row>
    <row r="25" spans="1:1" x14ac:dyDescent="0.2">
      <c r="A25" s="3" t="s">
        <v>214</v>
      </c>
    </row>
    <row r="26" spans="1:1" x14ac:dyDescent="0.2">
      <c r="A26" s="3" t="s">
        <v>229</v>
      </c>
    </row>
    <row r="27" spans="1:1" x14ac:dyDescent="0.2">
      <c r="A27" s="3" t="s">
        <v>216</v>
      </c>
    </row>
    <row r="28" spans="1:1" x14ac:dyDescent="0.2">
      <c r="A28" s="3" t="s">
        <v>217</v>
      </c>
    </row>
  </sheetData>
  <sortState xmlns:xlrd2="http://schemas.microsoft.com/office/spreadsheetml/2017/richdata2" ref="B2:B10">
    <sortCondition ref="B2:B10"/>
  </sortState>
  <pageMargins left="0.7" right="0.7" top="0.75" bottom="0.75" header="0.3" footer="0.3"/>
  <pageSetup scale="5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37AE8-CE7A-47E2-835F-04B82BA96354}">
  <sheetPr codeName="Sheet6">
    <pageSetUpPr fitToPage="1"/>
  </sheetPr>
  <dimension ref="A1:B43"/>
  <sheetViews>
    <sheetView topLeftCell="A33" zoomScaleNormal="100" workbookViewId="0">
      <selection activeCell="A44" sqref="A44"/>
    </sheetView>
  </sheetViews>
  <sheetFormatPr baseColWidth="10" defaultColWidth="8.6640625" defaultRowHeight="15" x14ac:dyDescent="0.2"/>
  <cols>
    <col min="1" max="1" width="39.33203125" bestFit="1" customWidth="1"/>
    <col min="2" max="2" width="40.1640625" bestFit="1" customWidth="1"/>
  </cols>
  <sheetData>
    <row r="1" spans="1:2" x14ac:dyDescent="0.2">
      <c r="A1" s="1" t="s">
        <v>2</v>
      </c>
      <c r="B1" s="1" t="s">
        <v>3</v>
      </c>
    </row>
    <row r="2" spans="1:2" x14ac:dyDescent="0.2">
      <c r="A2" s="3" t="s">
        <v>221</v>
      </c>
      <c r="B2" s="2" t="s">
        <v>230</v>
      </c>
    </row>
    <row r="3" spans="1:2" x14ac:dyDescent="0.2">
      <c r="A3" s="3" t="s">
        <v>219</v>
      </c>
      <c r="B3" s="2" t="s">
        <v>231</v>
      </c>
    </row>
    <row r="4" spans="1:2" x14ac:dyDescent="0.2">
      <c r="A4" s="2" t="s">
        <v>17</v>
      </c>
      <c r="B4" s="3" t="s">
        <v>220</v>
      </c>
    </row>
    <row r="5" spans="1:2" x14ac:dyDescent="0.2">
      <c r="A5" s="2" t="s">
        <v>22</v>
      </c>
      <c r="B5" s="2" t="s">
        <v>28</v>
      </c>
    </row>
    <row r="6" spans="1:2" x14ac:dyDescent="0.2">
      <c r="A6" s="2" t="s">
        <v>27</v>
      </c>
      <c r="B6" s="2" t="s">
        <v>33</v>
      </c>
    </row>
    <row r="7" spans="1:2" x14ac:dyDescent="0.2">
      <c r="A7" s="2" t="s">
        <v>32</v>
      </c>
      <c r="B7" s="2" t="s">
        <v>38</v>
      </c>
    </row>
    <row r="8" spans="1:2" x14ac:dyDescent="0.2">
      <c r="A8" s="2" t="s">
        <v>232</v>
      </c>
      <c r="B8" s="2" t="s">
        <v>43</v>
      </c>
    </row>
    <row r="9" spans="1:2" x14ac:dyDescent="0.2">
      <c r="A9" s="2" t="s">
        <v>62</v>
      </c>
      <c r="B9" s="3" t="s">
        <v>222</v>
      </c>
    </row>
    <row r="10" spans="1:2" x14ac:dyDescent="0.2">
      <c r="A10" s="2" t="s">
        <v>67</v>
      </c>
      <c r="B10" s="2" t="s">
        <v>233</v>
      </c>
    </row>
    <row r="11" spans="1:2" x14ac:dyDescent="0.2">
      <c r="A11" s="2" t="s">
        <v>71</v>
      </c>
      <c r="B11" s="3" t="s">
        <v>223</v>
      </c>
    </row>
    <row r="12" spans="1:2" x14ac:dyDescent="0.2">
      <c r="A12" s="2" t="s">
        <v>75</v>
      </c>
      <c r="B12" s="3" t="s">
        <v>76</v>
      </c>
    </row>
    <row r="13" spans="1:2" x14ac:dyDescent="0.2">
      <c r="A13" s="2" t="s">
        <v>79</v>
      </c>
      <c r="B13" s="2" t="s">
        <v>80</v>
      </c>
    </row>
    <row r="14" spans="1:2" x14ac:dyDescent="0.2">
      <c r="A14" s="2" t="s">
        <v>91</v>
      </c>
      <c r="B14" s="2" t="s">
        <v>84</v>
      </c>
    </row>
    <row r="15" spans="1:2" x14ac:dyDescent="0.2">
      <c r="A15" s="2" t="s">
        <v>234</v>
      </c>
      <c r="B15" s="3" t="s">
        <v>224</v>
      </c>
    </row>
    <row r="16" spans="1:2" x14ac:dyDescent="0.2">
      <c r="A16" s="3" t="s">
        <v>109</v>
      </c>
    </row>
    <row r="17" spans="1:1" x14ac:dyDescent="0.2">
      <c r="A17" s="3" t="s">
        <v>112</v>
      </c>
    </row>
    <row r="18" spans="1:1" x14ac:dyDescent="0.2">
      <c r="A18" s="2" t="s">
        <v>235</v>
      </c>
    </row>
    <row r="19" spans="1:1" x14ac:dyDescent="0.2">
      <c r="A19" s="2" t="s">
        <v>236</v>
      </c>
    </row>
    <row r="20" spans="1:1" x14ac:dyDescent="0.2">
      <c r="A20" s="2" t="s">
        <v>127</v>
      </c>
    </row>
    <row r="21" spans="1:1" x14ac:dyDescent="0.2">
      <c r="A21" s="2" t="s">
        <v>130</v>
      </c>
    </row>
    <row r="22" spans="1:1" x14ac:dyDescent="0.2">
      <c r="A22" s="2" t="s">
        <v>133</v>
      </c>
    </row>
    <row r="23" spans="1:1" x14ac:dyDescent="0.2">
      <c r="A23" s="2" t="s">
        <v>237</v>
      </c>
    </row>
    <row r="24" spans="1:1" x14ac:dyDescent="0.2">
      <c r="A24" s="2" t="s">
        <v>145</v>
      </c>
    </row>
    <row r="25" spans="1:1" x14ac:dyDescent="0.2">
      <c r="A25" s="2" t="s">
        <v>154</v>
      </c>
    </row>
    <row r="26" spans="1:1" x14ac:dyDescent="0.2">
      <c r="A26" s="2" t="s">
        <v>160</v>
      </c>
    </row>
    <row r="27" spans="1:1" x14ac:dyDescent="0.2">
      <c r="A27" s="2" t="s">
        <v>238</v>
      </c>
    </row>
    <row r="28" spans="1:1" x14ac:dyDescent="0.2">
      <c r="A28" s="2" t="s">
        <v>175</v>
      </c>
    </row>
    <row r="29" spans="1:1" x14ac:dyDescent="0.2">
      <c r="A29" s="3" t="s">
        <v>178</v>
      </c>
    </row>
    <row r="30" spans="1:1" x14ac:dyDescent="0.2">
      <c r="A30" s="2" t="s">
        <v>239</v>
      </c>
    </row>
    <row r="31" spans="1:1" x14ac:dyDescent="0.2">
      <c r="A31" s="3" t="s">
        <v>227</v>
      </c>
    </row>
    <row r="32" spans="1:1" x14ac:dyDescent="0.2">
      <c r="A32" s="2" t="s">
        <v>190</v>
      </c>
    </row>
    <row r="33" spans="1:1" x14ac:dyDescent="0.2">
      <c r="A33" s="2" t="s">
        <v>193</v>
      </c>
    </row>
    <row r="34" spans="1:1" x14ac:dyDescent="0.2">
      <c r="A34" s="3" t="s">
        <v>196</v>
      </c>
    </row>
    <row r="35" spans="1:1" x14ac:dyDescent="0.2">
      <c r="A35" s="2" t="s">
        <v>199</v>
      </c>
    </row>
    <row r="36" spans="1:1" x14ac:dyDescent="0.2">
      <c r="A36" s="2" t="s">
        <v>202</v>
      </c>
    </row>
    <row r="37" spans="1:1" x14ac:dyDescent="0.2">
      <c r="A37" s="3" t="s">
        <v>207</v>
      </c>
    </row>
    <row r="38" spans="1:1" x14ac:dyDescent="0.2">
      <c r="A38" s="3" t="s">
        <v>228</v>
      </c>
    </row>
    <row r="39" spans="1:1" x14ac:dyDescent="0.2">
      <c r="A39" s="2" t="s">
        <v>209</v>
      </c>
    </row>
    <row r="40" spans="1:1" x14ac:dyDescent="0.2">
      <c r="A40" s="2" t="s">
        <v>210</v>
      </c>
    </row>
    <row r="41" spans="1:1" x14ac:dyDescent="0.2">
      <c r="A41" s="3" t="s">
        <v>212</v>
      </c>
    </row>
    <row r="42" spans="1:1" x14ac:dyDescent="0.2">
      <c r="A42" s="2" t="s">
        <v>240</v>
      </c>
    </row>
    <row r="43" spans="1:1" x14ac:dyDescent="0.2">
      <c r="A43" s="3" t="s">
        <v>214</v>
      </c>
    </row>
  </sheetData>
  <sortState xmlns:xlrd2="http://schemas.microsoft.com/office/spreadsheetml/2017/richdata2" ref="B2:B19">
    <sortCondition ref="B2:B19"/>
  </sortState>
  <pageMargins left="0.7" right="0.7" top="0.75" bottom="0.75" header="0.3" footer="0.3"/>
  <pageSetup scale="5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C5B77-8C25-4872-A6AF-837FE3FF2061}">
  <sheetPr codeName="Sheet7">
    <pageSetUpPr fitToPage="1"/>
  </sheetPr>
  <dimension ref="A1:B39"/>
  <sheetViews>
    <sheetView zoomScale="110" zoomScaleNormal="50" workbookViewId="0">
      <selection activeCell="D23" sqref="D23"/>
    </sheetView>
  </sheetViews>
  <sheetFormatPr baseColWidth="10" defaultColWidth="8.6640625" defaultRowHeight="15" x14ac:dyDescent="0.2"/>
  <cols>
    <col min="1" max="1" width="39.33203125" bestFit="1" customWidth="1"/>
    <col min="2" max="2" width="40.1640625" bestFit="1" customWidth="1"/>
  </cols>
  <sheetData>
    <row r="1" spans="1:2" x14ac:dyDescent="0.2">
      <c r="A1" s="1" t="s">
        <v>2</v>
      </c>
      <c r="B1" s="1" t="s">
        <v>3</v>
      </c>
    </row>
    <row r="2" spans="1:2" x14ac:dyDescent="0.2">
      <c r="A2" s="2" t="s">
        <v>133</v>
      </c>
      <c r="B2" s="2" t="s">
        <v>230</v>
      </c>
    </row>
    <row r="3" spans="1:2" x14ac:dyDescent="0.2">
      <c r="A3" s="3" t="s">
        <v>219</v>
      </c>
      <c r="B3" s="2" t="s">
        <v>241</v>
      </c>
    </row>
    <row r="4" spans="1:2" x14ac:dyDescent="0.2">
      <c r="A4" s="3" t="s">
        <v>221</v>
      </c>
      <c r="B4" s="3" t="s">
        <v>220</v>
      </c>
    </row>
    <row r="5" spans="1:2" x14ac:dyDescent="0.2">
      <c r="A5" s="2" t="s">
        <v>17</v>
      </c>
      <c r="B5" s="4" t="s">
        <v>23</v>
      </c>
    </row>
    <row r="6" spans="1:2" x14ac:dyDescent="0.2">
      <c r="A6" s="2" t="s">
        <v>27</v>
      </c>
      <c r="B6" s="2" t="s">
        <v>28</v>
      </c>
    </row>
    <row r="7" spans="1:2" x14ac:dyDescent="0.2">
      <c r="A7" s="2" t="s">
        <v>32</v>
      </c>
      <c r="B7" s="2" t="s">
        <v>33</v>
      </c>
    </row>
    <row r="8" spans="1:2" x14ac:dyDescent="0.2">
      <c r="A8" s="4" t="s">
        <v>47</v>
      </c>
      <c r="B8" s="2" t="s">
        <v>38</v>
      </c>
    </row>
    <row r="9" spans="1:2" x14ac:dyDescent="0.2">
      <c r="A9" s="2" t="s">
        <v>232</v>
      </c>
      <c r="B9" s="2" t="s">
        <v>43</v>
      </c>
    </row>
    <row r="10" spans="1:2" x14ac:dyDescent="0.2">
      <c r="A10" s="2" t="s">
        <v>62</v>
      </c>
      <c r="B10" s="4" t="s">
        <v>242</v>
      </c>
    </row>
    <row r="11" spans="1:2" x14ac:dyDescent="0.2">
      <c r="A11" s="2" t="s">
        <v>67</v>
      </c>
      <c r="B11" s="3" t="s">
        <v>222</v>
      </c>
    </row>
    <row r="12" spans="1:2" x14ac:dyDescent="0.2">
      <c r="A12" s="2" t="s">
        <v>71</v>
      </c>
      <c r="B12" s="4" t="s">
        <v>58</v>
      </c>
    </row>
    <row r="13" spans="1:2" x14ac:dyDescent="0.2">
      <c r="A13" s="2" t="s">
        <v>79</v>
      </c>
      <c r="B13" s="2" t="s">
        <v>233</v>
      </c>
    </row>
    <row r="14" spans="1:2" x14ac:dyDescent="0.2">
      <c r="A14" s="3" t="s">
        <v>83</v>
      </c>
      <c r="B14" s="3" t="s">
        <v>223</v>
      </c>
    </row>
    <row r="15" spans="1:2" x14ac:dyDescent="0.2">
      <c r="A15" s="2" t="s">
        <v>91</v>
      </c>
      <c r="B15" s="4" t="s">
        <v>72</v>
      </c>
    </row>
    <row r="16" spans="1:2" x14ac:dyDescent="0.2">
      <c r="A16" s="4" t="s">
        <v>100</v>
      </c>
      <c r="B16" s="3" t="s">
        <v>76</v>
      </c>
    </row>
    <row r="17" spans="1:2" x14ac:dyDescent="0.2">
      <c r="A17" s="3" t="s">
        <v>109</v>
      </c>
      <c r="B17" s="2" t="s">
        <v>80</v>
      </c>
    </row>
    <row r="18" spans="1:2" x14ac:dyDescent="0.2">
      <c r="A18" s="3" t="s">
        <v>112</v>
      </c>
      <c r="B18" s="2" t="s">
        <v>84</v>
      </c>
    </row>
    <row r="19" spans="1:2" x14ac:dyDescent="0.2">
      <c r="A19" s="2" t="s">
        <v>235</v>
      </c>
      <c r="B19" s="3" t="s">
        <v>224</v>
      </c>
    </row>
    <row r="20" spans="1:2" x14ac:dyDescent="0.2">
      <c r="A20" s="4" t="s">
        <v>124</v>
      </c>
      <c r="B20" s="4" t="s">
        <v>88</v>
      </c>
    </row>
    <row r="21" spans="1:2" x14ac:dyDescent="0.2">
      <c r="A21" s="2" t="s">
        <v>127</v>
      </c>
    </row>
    <row r="22" spans="1:2" x14ac:dyDescent="0.2">
      <c r="A22" s="2" t="s">
        <v>130</v>
      </c>
    </row>
    <row r="23" spans="1:2" x14ac:dyDescent="0.2">
      <c r="A23" s="3" t="s">
        <v>136</v>
      </c>
    </row>
    <row r="24" spans="1:2" x14ac:dyDescent="0.2">
      <c r="A24" s="2" t="s">
        <v>237</v>
      </c>
    </row>
    <row r="25" spans="1:2" x14ac:dyDescent="0.2">
      <c r="A25" s="4" t="s">
        <v>148</v>
      </c>
    </row>
    <row r="26" spans="1:2" x14ac:dyDescent="0.2">
      <c r="A26" s="4" t="s">
        <v>169</v>
      </c>
    </row>
    <row r="27" spans="1:2" x14ac:dyDescent="0.2">
      <c r="A27" s="4" t="s">
        <v>243</v>
      </c>
    </row>
    <row r="28" spans="1:2" x14ac:dyDescent="0.2">
      <c r="A28" s="4" t="s">
        <v>172</v>
      </c>
    </row>
    <row r="29" spans="1:2" x14ac:dyDescent="0.2">
      <c r="A29" s="2" t="s">
        <v>175</v>
      </c>
    </row>
    <row r="30" spans="1:2" x14ac:dyDescent="0.2">
      <c r="A30" s="3" t="s">
        <v>178</v>
      </c>
    </row>
    <row r="31" spans="1:2" x14ac:dyDescent="0.2">
      <c r="A31" s="4" t="s">
        <v>181</v>
      </c>
    </row>
    <row r="32" spans="1:2" x14ac:dyDescent="0.2">
      <c r="A32" s="2" t="s">
        <v>239</v>
      </c>
    </row>
    <row r="33" spans="1:1" x14ac:dyDescent="0.2">
      <c r="A33" s="3" t="s">
        <v>227</v>
      </c>
    </row>
    <row r="34" spans="1:1" x14ac:dyDescent="0.2">
      <c r="A34" s="2" t="s">
        <v>244</v>
      </c>
    </row>
    <row r="35" spans="1:1" x14ac:dyDescent="0.2">
      <c r="A35" s="3" t="s">
        <v>207</v>
      </c>
    </row>
    <row r="36" spans="1:1" x14ac:dyDescent="0.2">
      <c r="A36" s="3" t="s">
        <v>228</v>
      </c>
    </row>
    <row r="37" spans="1:1" x14ac:dyDescent="0.2">
      <c r="A37" s="2" t="s">
        <v>210</v>
      </c>
    </row>
    <row r="38" spans="1:1" x14ac:dyDescent="0.2">
      <c r="A38" s="4" t="s">
        <v>211</v>
      </c>
    </row>
    <row r="39" spans="1:1" x14ac:dyDescent="0.2">
      <c r="A39" s="3" t="s">
        <v>214</v>
      </c>
    </row>
  </sheetData>
  <sortState xmlns:xlrd2="http://schemas.microsoft.com/office/spreadsheetml/2017/richdata2" ref="A3:A39">
    <sortCondition ref="A2:A39"/>
  </sortState>
  <pageMargins left="0.7" right="0.7" top="0.75" bottom="0.75" header="0.3" footer="0.3"/>
  <pageSetup scale="5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24A69-9EA0-4A41-BBB2-9FB56813B04B}">
  <dimension ref="A1:B127"/>
  <sheetViews>
    <sheetView workbookViewId="0">
      <selection activeCell="B2" sqref="B2:B162"/>
    </sheetView>
  </sheetViews>
  <sheetFormatPr baseColWidth="10" defaultColWidth="11.5" defaultRowHeight="15" x14ac:dyDescent="0.2"/>
  <cols>
    <col min="1" max="1" width="37.6640625" bestFit="1" customWidth="1"/>
    <col min="2" max="2" width="44.1640625" bestFit="1" customWidth="1"/>
  </cols>
  <sheetData>
    <row r="1" spans="1:2" x14ac:dyDescent="0.2">
      <c r="A1" s="1" t="s">
        <v>245</v>
      </c>
      <c r="B1" s="1" t="s">
        <v>246</v>
      </c>
    </row>
    <row r="2" spans="1:2" x14ac:dyDescent="0.2">
      <c r="A2" s="3" t="s">
        <v>247</v>
      </c>
      <c r="B2" s="3" t="s">
        <v>6</v>
      </c>
    </row>
    <row r="3" spans="1:2" x14ac:dyDescent="0.2">
      <c r="A3" s="3" t="s">
        <v>5</v>
      </c>
      <c r="B3" s="3" t="s">
        <v>31</v>
      </c>
    </row>
    <row r="4" spans="1:2" x14ac:dyDescent="0.2">
      <c r="A4" s="3" t="s">
        <v>248</v>
      </c>
      <c r="B4" s="3" t="s">
        <v>34</v>
      </c>
    </row>
    <row r="5" spans="1:2" x14ac:dyDescent="0.2">
      <c r="A5" s="3" t="s">
        <v>249</v>
      </c>
      <c r="B5" s="3" t="s">
        <v>51</v>
      </c>
    </row>
    <row r="6" spans="1:2" x14ac:dyDescent="0.2">
      <c r="A6" s="3" t="s">
        <v>250</v>
      </c>
      <c r="B6" s="3" t="s">
        <v>220</v>
      </c>
    </row>
    <row r="7" spans="1:2" x14ac:dyDescent="0.2">
      <c r="A7" s="3" t="s">
        <v>40</v>
      </c>
      <c r="B7" s="3" t="s">
        <v>96</v>
      </c>
    </row>
    <row r="8" spans="1:2" x14ac:dyDescent="0.2">
      <c r="A8" s="3" t="s">
        <v>45</v>
      </c>
      <c r="B8" s="3" t="s">
        <v>102</v>
      </c>
    </row>
    <row r="9" spans="1:2" x14ac:dyDescent="0.2">
      <c r="A9" s="3" t="s">
        <v>50</v>
      </c>
      <c r="B9" s="3" t="s">
        <v>222</v>
      </c>
    </row>
    <row r="10" spans="1:2" x14ac:dyDescent="0.2">
      <c r="A10" s="3" t="s">
        <v>218</v>
      </c>
      <c r="B10" s="3" t="s">
        <v>105</v>
      </c>
    </row>
    <row r="11" spans="1:2" x14ac:dyDescent="0.2">
      <c r="A11" s="3" t="s">
        <v>251</v>
      </c>
      <c r="B11" s="3" t="s">
        <v>114</v>
      </c>
    </row>
    <row r="12" spans="1:2" x14ac:dyDescent="0.2">
      <c r="A12" s="3" t="s">
        <v>65</v>
      </c>
      <c r="B12" s="3" t="s">
        <v>117</v>
      </c>
    </row>
    <row r="13" spans="1:2" x14ac:dyDescent="0.2">
      <c r="A13" s="3" t="s">
        <v>39</v>
      </c>
      <c r="B13" s="3" t="s">
        <v>120</v>
      </c>
    </row>
    <row r="14" spans="1:2" x14ac:dyDescent="0.2">
      <c r="A14" s="3" t="s">
        <v>252</v>
      </c>
      <c r="B14" s="3" t="s">
        <v>126</v>
      </c>
    </row>
    <row r="15" spans="1:2" x14ac:dyDescent="0.2">
      <c r="A15" s="3" t="s">
        <v>253</v>
      </c>
      <c r="B15" s="3" t="s">
        <v>129</v>
      </c>
    </row>
    <row r="16" spans="1:2" x14ac:dyDescent="0.2">
      <c r="A16" s="3" t="s">
        <v>85</v>
      </c>
      <c r="B16" s="3" t="s">
        <v>132</v>
      </c>
    </row>
    <row r="17" spans="1:2" x14ac:dyDescent="0.2">
      <c r="A17" s="3" t="s">
        <v>254</v>
      </c>
      <c r="B17" s="3" t="s">
        <v>223</v>
      </c>
    </row>
    <row r="18" spans="1:2" x14ac:dyDescent="0.2">
      <c r="A18" s="3" t="s">
        <v>95</v>
      </c>
      <c r="B18" s="3" t="s">
        <v>147</v>
      </c>
    </row>
    <row r="19" spans="1:2" x14ac:dyDescent="0.2">
      <c r="A19" s="3" t="s">
        <v>255</v>
      </c>
      <c r="B19" s="3" t="s">
        <v>256</v>
      </c>
    </row>
    <row r="20" spans="1:2" x14ac:dyDescent="0.2">
      <c r="A20" s="3" t="s">
        <v>98</v>
      </c>
      <c r="B20" s="3" t="s">
        <v>150</v>
      </c>
    </row>
    <row r="21" spans="1:2" x14ac:dyDescent="0.2">
      <c r="A21" s="3" t="s">
        <v>257</v>
      </c>
      <c r="B21" s="3" t="s">
        <v>49</v>
      </c>
    </row>
    <row r="22" spans="1:2" x14ac:dyDescent="0.2">
      <c r="A22" s="3" t="s">
        <v>258</v>
      </c>
      <c r="B22" s="3" t="s">
        <v>159</v>
      </c>
    </row>
    <row r="23" spans="1:2" x14ac:dyDescent="0.2">
      <c r="A23" s="3" t="s">
        <v>101</v>
      </c>
      <c r="B23" s="3" t="s">
        <v>76</v>
      </c>
    </row>
    <row r="24" spans="1:2" x14ac:dyDescent="0.2">
      <c r="A24" s="3" t="s">
        <v>104</v>
      </c>
      <c r="B24" s="3" t="s">
        <v>259</v>
      </c>
    </row>
    <row r="25" spans="1:2" x14ac:dyDescent="0.2">
      <c r="A25" s="3" t="s">
        <v>110</v>
      </c>
      <c r="B25" s="3" t="s">
        <v>260</v>
      </c>
    </row>
    <row r="26" spans="1:2" x14ac:dyDescent="0.2">
      <c r="A26" s="3" t="s">
        <v>122</v>
      </c>
      <c r="B26" s="3" t="s">
        <v>162</v>
      </c>
    </row>
    <row r="27" spans="1:2" x14ac:dyDescent="0.2">
      <c r="A27" s="3" t="s">
        <v>128</v>
      </c>
      <c r="B27" s="3" t="s">
        <v>224</v>
      </c>
    </row>
    <row r="28" spans="1:2" x14ac:dyDescent="0.2">
      <c r="A28" s="3" t="s">
        <v>261</v>
      </c>
      <c r="B28" s="3" t="s">
        <v>262</v>
      </c>
    </row>
    <row r="29" spans="1:2" x14ac:dyDescent="0.2">
      <c r="A29" s="3" t="s">
        <v>263</v>
      </c>
      <c r="B29" s="3" t="s">
        <v>165</v>
      </c>
    </row>
    <row r="30" spans="1:2" x14ac:dyDescent="0.2">
      <c r="A30" s="3" t="s">
        <v>264</v>
      </c>
      <c r="B30" s="3" t="s">
        <v>198</v>
      </c>
    </row>
    <row r="31" spans="1:2" x14ac:dyDescent="0.2">
      <c r="A31" s="3" t="s">
        <v>140</v>
      </c>
      <c r="B31" s="2" t="s">
        <v>11</v>
      </c>
    </row>
    <row r="32" spans="1:2" x14ac:dyDescent="0.2">
      <c r="A32" s="3" t="s">
        <v>143</v>
      </c>
      <c r="B32" s="2" t="s">
        <v>16</v>
      </c>
    </row>
    <row r="33" spans="1:2" x14ac:dyDescent="0.2">
      <c r="A33" s="3" t="s">
        <v>265</v>
      </c>
      <c r="B33" s="2" t="s">
        <v>21</v>
      </c>
    </row>
    <row r="34" spans="1:2" x14ac:dyDescent="0.2">
      <c r="A34" s="3" t="s">
        <v>266</v>
      </c>
      <c r="B34" s="2" t="s">
        <v>26</v>
      </c>
    </row>
    <row r="35" spans="1:2" x14ac:dyDescent="0.2">
      <c r="A35" s="3" t="s">
        <v>146</v>
      </c>
      <c r="B35" s="2" t="s">
        <v>10</v>
      </c>
    </row>
    <row r="36" spans="1:2" x14ac:dyDescent="0.2">
      <c r="A36" s="3" t="s">
        <v>267</v>
      </c>
      <c r="B36" s="2" t="s">
        <v>15</v>
      </c>
    </row>
    <row r="37" spans="1:2" x14ac:dyDescent="0.2">
      <c r="A37" s="3" t="s">
        <v>152</v>
      </c>
      <c r="B37" s="2" t="s">
        <v>14</v>
      </c>
    </row>
    <row r="38" spans="1:2" x14ac:dyDescent="0.2">
      <c r="A38" s="3" t="s">
        <v>155</v>
      </c>
      <c r="B38" s="2" t="s">
        <v>19</v>
      </c>
    </row>
    <row r="39" spans="1:2" x14ac:dyDescent="0.2">
      <c r="A39" s="3" t="s">
        <v>158</v>
      </c>
      <c r="B39" s="2" t="s">
        <v>24</v>
      </c>
    </row>
    <row r="40" spans="1:2" x14ac:dyDescent="0.2">
      <c r="A40" s="3" t="s">
        <v>161</v>
      </c>
      <c r="B40" s="2" t="s">
        <v>29</v>
      </c>
    </row>
    <row r="41" spans="1:2" x14ac:dyDescent="0.2">
      <c r="A41" s="3" t="s">
        <v>164</v>
      </c>
      <c r="B41" s="2" t="s">
        <v>268</v>
      </c>
    </row>
    <row r="42" spans="1:2" x14ac:dyDescent="0.2">
      <c r="A42" s="3" t="s">
        <v>167</v>
      </c>
      <c r="B42" s="2" t="s">
        <v>25</v>
      </c>
    </row>
    <row r="43" spans="1:2" x14ac:dyDescent="0.2">
      <c r="A43" s="3" t="s">
        <v>170</v>
      </c>
      <c r="B43" s="2" t="s">
        <v>41</v>
      </c>
    </row>
    <row r="44" spans="1:2" x14ac:dyDescent="0.2">
      <c r="A44" s="3" t="s">
        <v>176</v>
      </c>
      <c r="B44" s="2" t="s">
        <v>231</v>
      </c>
    </row>
    <row r="45" spans="1:2" x14ac:dyDescent="0.2">
      <c r="A45" s="3" t="s">
        <v>269</v>
      </c>
      <c r="B45" s="2" t="s">
        <v>46</v>
      </c>
    </row>
    <row r="46" spans="1:2" x14ac:dyDescent="0.2">
      <c r="A46" s="3" t="s">
        <v>270</v>
      </c>
      <c r="B46" s="2" t="s">
        <v>56</v>
      </c>
    </row>
    <row r="47" spans="1:2" x14ac:dyDescent="0.2">
      <c r="A47" s="3" t="s">
        <v>271</v>
      </c>
      <c r="B47" s="2" t="s">
        <v>61</v>
      </c>
    </row>
    <row r="48" spans="1:2" x14ac:dyDescent="0.2">
      <c r="A48" s="3" t="s">
        <v>272</v>
      </c>
      <c r="B48" s="2" t="s">
        <v>78</v>
      </c>
    </row>
    <row r="49" spans="1:2" x14ac:dyDescent="0.2">
      <c r="A49" s="3" t="s">
        <v>273</v>
      </c>
      <c r="B49" s="2" t="s">
        <v>82</v>
      </c>
    </row>
    <row r="50" spans="1:2" x14ac:dyDescent="0.2">
      <c r="A50" s="3" t="s">
        <v>274</v>
      </c>
      <c r="B50" s="2" t="s">
        <v>86</v>
      </c>
    </row>
    <row r="51" spans="1:2" x14ac:dyDescent="0.2">
      <c r="A51" s="3" t="s">
        <v>275</v>
      </c>
      <c r="B51" s="2" t="s">
        <v>90</v>
      </c>
    </row>
    <row r="52" spans="1:2" x14ac:dyDescent="0.2">
      <c r="A52" s="3" t="s">
        <v>203</v>
      </c>
      <c r="B52" s="2" t="s">
        <v>93</v>
      </c>
    </row>
    <row r="53" spans="1:2" x14ac:dyDescent="0.2">
      <c r="A53" s="3" t="s">
        <v>276</v>
      </c>
      <c r="B53" s="2" t="s">
        <v>28</v>
      </c>
    </row>
    <row r="54" spans="1:2" x14ac:dyDescent="0.2">
      <c r="A54" s="3" t="s">
        <v>277</v>
      </c>
      <c r="B54" s="2" t="s">
        <v>33</v>
      </c>
    </row>
    <row r="55" spans="1:2" x14ac:dyDescent="0.2">
      <c r="A55" s="3" t="s">
        <v>278</v>
      </c>
      <c r="B55" s="2" t="s">
        <v>38</v>
      </c>
    </row>
    <row r="56" spans="1:2" x14ac:dyDescent="0.2">
      <c r="A56" s="3" t="s">
        <v>279</v>
      </c>
      <c r="B56" s="2" t="s">
        <v>43</v>
      </c>
    </row>
    <row r="57" spans="1:2" x14ac:dyDescent="0.2">
      <c r="A57" s="2" t="s">
        <v>280</v>
      </c>
      <c r="B57" s="2" t="s">
        <v>99</v>
      </c>
    </row>
    <row r="58" spans="1:2" x14ac:dyDescent="0.2">
      <c r="A58" s="2" t="s">
        <v>281</v>
      </c>
      <c r="B58" s="2" t="s">
        <v>108</v>
      </c>
    </row>
    <row r="59" spans="1:2" x14ac:dyDescent="0.2">
      <c r="A59" s="2" t="s">
        <v>27</v>
      </c>
      <c r="B59" s="2" t="s">
        <v>111</v>
      </c>
    </row>
    <row r="60" spans="1:2" x14ac:dyDescent="0.2">
      <c r="A60" s="2" t="s">
        <v>282</v>
      </c>
      <c r="B60" s="2" t="s">
        <v>123</v>
      </c>
    </row>
    <row r="61" spans="1:2" x14ac:dyDescent="0.2">
      <c r="A61" s="2" t="s">
        <v>60</v>
      </c>
      <c r="B61" s="2" t="s">
        <v>283</v>
      </c>
    </row>
    <row r="62" spans="1:2" x14ac:dyDescent="0.2">
      <c r="A62" s="2" t="s">
        <v>284</v>
      </c>
      <c r="B62" s="2" t="s">
        <v>44</v>
      </c>
    </row>
    <row r="63" spans="1:2" x14ac:dyDescent="0.2">
      <c r="A63" s="2" t="s">
        <v>69</v>
      </c>
      <c r="B63" s="2" t="s">
        <v>141</v>
      </c>
    </row>
    <row r="64" spans="1:2" x14ac:dyDescent="0.2">
      <c r="A64" s="2" t="s">
        <v>285</v>
      </c>
      <c r="B64" s="2" t="s">
        <v>168</v>
      </c>
    </row>
    <row r="65" spans="1:2" x14ac:dyDescent="0.2">
      <c r="A65" s="2" t="s">
        <v>73</v>
      </c>
      <c r="B65" s="2" t="s">
        <v>171</v>
      </c>
    </row>
    <row r="66" spans="1:2" x14ac:dyDescent="0.2">
      <c r="A66" s="2" t="s">
        <v>67</v>
      </c>
      <c r="B66" s="2" t="s">
        <v>174</v>
      </c>
    </row>
    <row r="67" spans="1:2" x14ac:dyDescent="0.2">
      <c r="A67" s="2" t="s">
        <v>71</v>
      </c>
      <c r="B67" s="2" t="s">
        <v>177</v>
      </c>
    </row>
    <row r="68" spans="1:2" x14ac:dyDescent="0.2">
      <c r="A68" s="2" t="s">
        <v>77</v>
      </c>
      <c r="B68" s="2" t="s">
        <v>180</v>
      </c>
    </row>
    <row r="69" spans="1:2" x14ac:dyDescent="0.2">
      <c r="A69" s="2" t="s">
        <v>286</v>
      </c>
      <c r="B69" s="2" t="s">
        <v>183</v>
      </c>
    </row>
    <row r="70" spans="1:2" x14ac:dyDescent="0.2">
      <c r="A70" s="2" t="s">
        <v>287</v>
      </c>
      <c r="B70" s="2" t="s">
        <v>186</v>
      </c>
    </row>
    <row r="71" spans="1:2" x14ac:dyDescent="0.2">
      <c r="A71" s="2" t="s">
        <v>288</v>
      </c>
      <c r="B71" s="2" t="s">
        <v>189</v>
      </c>
    </row>
    <row r="72" spans="1:2" x14ac:dyDescent="0.2">
      <c r="A72" s="2" t="s">
        <v>89</v>
      </c>
      <c r="B72" s="2" t="s">
        <v>192</v>
      </c>
    </row>
    <row r="73" spans="1:2" x14ac:dyDescent="0.2">
      <c r="A73" s="2" t="s">
        <v>92</v>
      </c>
      <c r="B73" s="2" t="s">
        <v>195</v>
      </c>
    </row>
    <row r="74" spans="1:2" x14ac:dyDescent="0.2">
      <c r="A74" s="2" t="s">
        <v>289</v>
      </c>
      <c r="B74" s="2" t="s">
        <v>201</v>
      </c>
    </row>
    <row r="75" spans="1:2" x14ac:dyDescent="0.2">
      <c r="A75" s="2" t="s">
        <v>290</v>
      </c>
      <c r="B75" s="2" t="s">
        <v>204</v>
      </c>
    </row>
    <row r="76" spans="1:2" x14ac:dyDescent="0.2">
      <c r="A76" s="2" t="s">
        <v>291</v>
      </c>
      <c r="B76" s="4" t="s">
        <v>30</v>
      </c>
    </row>
    <row r="77" spans="1:2" x14ac:dyDescent="0.2">
      <c r="A77" s="2" t="s">
        <v>127</v>
      </c>
      <c r="B77" s="4" t="s">
        <v>35</v>
      </c>
    </row>
    <row r="78" spans="1:2" x14ac:dyDescent="0.2">
      <c r="A78" s="2" t="s">
        <v>130</v>
      </c>
      <c r="B78" s="4" t="s">
        <v>36</v>
      </c>
    </row>
    <row r="79" spans="1:2" x14ac:dyDescent="0.2">
      <c r="A79" s="2" t="s">
        <v>133</v>
      </c>
      <c r="B79" s="4" t="s">
        <v>66</v>
      </c>
    </row>
    <row r="80" spans="1:2" x14ac:dyDescent="0.2">
      <c r="A80" s="2" t="s">
        <v>292</v>
      </c>
      <c r="B80" s="4" t="s">
        <v>23</v>
      </c>
    </row>
    <row r="81" spans="1:2" x14ac:dyDescent="0.2">
      <c r="A81" s="2" t="s">
        <v>134</v>
      </c>
      <c r="B81" s="4" t="s">
        <v>293</v>
      </c>
    </row>
    <row r="82" spans="1:2" x14ac:dyDescent="0.2">
      <c r="A82" s="2" t="s">
        <v>294</v>
      </c>
      <c r="B82" s="4" t="s">
        <v>58</v>
      </c>
    </row>
    <row r="83" spans="1:2" x14ac:dyDescent="0.2">
      <c r="A83" s="2" t="s">
        <v>295</v>
      </c>
      <c r="B83" s="4" t="s">
        <v>135</v>
      </c>
    </row>
    <row r="84" spans="1:2" x14ac:dyDescent="0.2">
      <c r="A84" s="2" t="s">
        <v>149</v>
      </c>
      <c r="B84" s="4" t="s">
        <v>138</v>
      </c>
    </row>
    <row r="85" spans="1:2" x14ac:dyDescent="0.2">
      <c r="A85" s="2" t="s">
        <v>296</v>
      </c>
      <c r="B85" s="4" t="s">
        <v>144</v>
      </c>
    </row>
    <row r="86" spans="1:2" x14ac:dyDescent="0.2">
      <c r="A86" s="2" t="s">
        <v>297</v>
      </c>
      <c r="B86" s="4" t="s">
        <v>166</v>
      </c>
    </row>
    <row r="87" spans="1:2" x14ac:dyDescent="0.2">
      <c r="A87" s="2" t="s">
        <v>173</v>
      </c>
      <c r="B87" s="4" t="s">
        <v>172</v>
      </c>
    </row>
    <row r="88" spans="1:2" x14ac:dyDescent="0.2">
      <c r="A88" s="2" t="s">
        <v>298</v>
      </c>
      <c r="B88" s="4" t="s">
        <v>153</v>
      </c>
    </row>
    <row r="89" spans="1:2" x14ac:dyDescent="0.2">
      <c r="A89" s="2" t="s">
        <v>299</v>
      </c>
      <c r="B89" s="4" t="s">
        <v>156</v>
      </c>
    </row>
    <row r="90" spans="1:2" x14ac:dyDescent="0.2">
      <c r="A90" s="2" t="s">
        <v>80</v>
      </c>
      <c r="B90" s="4" t="s">
        <v>72</v>
      </c>
    </row>
    <row r="91" spans="1:2" x14ac:dyDescent="0.2">
      <c r="A91" s="2" t="s">
        <v>84</v>
      </c>
      <c r="B91" s="4" t="s">
        <v>59</v>
      </c>
    </row>
    <row r="92" spans="1:2" x14ac:dyDescent="0.2">
      <c r="A92" s="2" t="s">
        <v>179</v>
      </c>
      <c r="B92" s="4" t="s">
        <v>88</v>
      </c>
    </row>
    <row r="93" spans="1:2" x14ac:dyDescent="0.2">
      <c r="A93" s="2" t="s">
        <v>300</v>
      </c>
    </row>
    <row r="94" spans="1:2" x14ac:dyDescent="0.2">
      <c r="A94" s="2" t="s">
        <v>301</v>
      </c>
    </row>
    <row r="95" spans="1:2" x14ac:dyDescent="0.2">
      <c r="A95" s="2" t="s">
        <v>182</v>
      </c>
    </row>
    <row r="96" spans="1:2" x14ac:dyDescent="0.2">
      <c r="A96" s="2" t="s">
        <v>185</v>
      </c>
    </row>
    <row r="97" spans="1:1" x14ac:dyDescent="0.2">
      <c r="A97" s="2" t="s">
        <v>302</v>
      </c>
    </row>
    <row r="98" spans="1:1" x14ac:dyDescent="0.2">
      <c r="A98" s="2" t="s">
        <v>303</v>
      </c>
    </row>
    <row r="99" spans="1:1" x14ac:dyDescent="0.2">
      <c r="A99" s="2" t="s">
        <v>188</v>
      </c>
    </row>
    <row r="100" spans="1:1" x14ac:dyDescent="0.2">
      <c r="A100" s="2" t="s">
        <v>304</v>
      </c>
    </row>
    <row r="101" spans="1:1" x14ac:dyDescent="0.2">
      <c r="A101" s="2" t="s">
        <v>194</v>
      </c>
    </row>
    <row r="102" spans="1:1" x14ac:dyDescent="0.2">
      <c r="A102" s="2" t="s">
        <v>305</v>
      </c>
    </row>
    <row r="103" spans="1:1" x14ac:dyDescent="0.2">
      <c r="A103" s="2" t="s">
        <v>54</v>
      </c>
    </row>
    <row r="104" spans="1:1" x14ac:dyDescent="0.2">
      <c r="A104" s="2" t="s">
        <v>306</v>
      </c>
    </row>
    <row r="105" spans="1:1" x14ac:dyDescent="0.2">
      <c r="A105" s="2" t="s">
        <v>206</v>
      </c>
    </row>
    <row r="106" spans="1:1" x14ac:dyDescent="0.2">
      <c r="A106" s="4" t="s">
        <v>100</v>
      </c>
    </row>
    <row r="107" spans="1:1" x14ac:dyDescent="0.2">
      <c r="A107" s="4" t="s">
        <v>137</v>
      </c>
    </row>
    <row r="108" spans="1:1" x14ac:dyDescent="0.2">
      <c r="A108" s="4" t="s">
        <v>9</v>
      </c>
    </row>
    <row r="109" spans="1:1" x14ac:dyDescent="0.2">
      <c r="A109" s="4" t="s">
        <v>20</v>
      </c>
    </row>
    <row r="110" spans="1:1" x14ac:dyDescent="0.2">
      <c r="A110" s="4" t="s">
        <v>131</v>
      </c>
    </row>
    <row r="111" spans="1:1" x14ac:dyDescent="0.2">
      <c r="A111" s="4" t="s">
        <v>116</v>
      </c>
    </row>
    <row r="112" spans="1:1" x14ac:dyDescent="0.2">
      <c r="A112" s="4" t="s">
        <v>191</v>
      </c>
    </row>
    <row r="113" spans="1:1" x14ac:dyDescent="0.2">
      <c r="A113" s="4" t="s">
        <v>169</v>
      </c>
    </row>
    <row r="114" spans="1:1" x14ac:dyDescent="0.2">
      <c r="A114" s="4" t="s">
        <v>307</v>
      </c>
    </row>
    <row r="115" spans="1:1" x14ac:dyDescent="0.2">
      <c r="A115" s="4" t="s">
        <v>197</v>
      </c>
    </row>
    <row r="116" spans="1:1" x14ac:dyDescent="0.2">
      <c r="A116" s="4" t="s">
        <v>55</v>
      </c>
    </row>
    <row r="117" spans="1:1" x14ac:dyDescent="0.2">
      <c r="A117" s="4" t="s">
        <v>148</v>
      </c>
    </row>
    <row r="118" spans="1:1" x14ac:dyDescent="0.2">
      <c r="A118" s="4" t="s">
        <v>113</v>
      </c>
    </row>
    <row r="119" spans="1:1" x14ac:dyDescent="0.2">
      <c r="A119" s="4" t="s">
        <v>124</v>
      </c>
    </row>
    <row r="120" spans="1:1" x14ac:dyDescent="0.2">
      <c r="A120" s="4" t="s">
        <v>211</v>
      </c>
    </row>
    <row r="121" spans="1:1" x14ac:dyDescent="0.2">
      <c r="A121" s="4" t="s">
        <v>81</v>
      </c>
    </row>
    <row r="122" spans="1:1" x14ac:dyDescent="0.2">
      <c r="A122" s="4" t="s">
        <v>119</v>
      </c>
    </row>
    <row r="123" spans="1:1" x14ac:dyDescent="0.2">
      <c r="A123" s="4" t="s">
        <v>70</v>
      </c>
    </row>
    <row r="124" spans="1:1" x14ac:dyDescent="0.2">
      <c r="A124" s="4" t="s">
        <v>74</v>
      </c>
    </row>
    <row r="125" spans="1:1" x14ac:dyDescent="0.2">
      <c r="A125" s="4" t="s">
        <v>107</v>
      </c>
    </row>
    <row r="126" spans="1:1" x14ac:dyDescent="0.2">
      <c r="A126" s="4" t="s">
        <v>200</v>
      </c>
    </row>
    <row r="127" spans="1:1" x14ac:dyDescent="0.2">
      <c r="A127" s="4" t="s">
        <v>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4D7F3-C3D8-4B03-BC6F-5936219A4F16}">
  <sheetPr codeName="Sheet9">
    <pageSetUpPr fitToPage="1"/>
  </sheetPr>
  <dimension ref="A1:B57"/>
  <sheetViews>
    <sheetView zoomScale="125" zoomScaleNormal="57" workbookViewId="0">
      <selection activeCell="B1" sqref="B1:B30"/>
    </sheetView>
  </sheetViews>
  <sheetFormatPr baseColWidth="10" defaultColWidth="8.6640625" defaultRowHeight="15" x14ac:dyDescent="0.2"/>
  <cols>
    <col min="1" max="1" width="31.1640625" bestFit="1" customWidth="1"/>
    <col min="2" max="2" width="30.33203125" bestFit="1" customWidth="1"/>
  </cols>
  <sheetData>
    <row r="1" spans="1:2" x14ac:dyDescent="0.2">
      <c r="A1" s="1" t="s">
        <v>245</v>
      </c>
      <c r="B1" s="1" t="s">
        <v>246</v>
      </c>
    </row>
    <row r="2" spans="1:2" x14ac:dyDescent="0.2">
      <c r="A2" s="3" t="s">
        <v>247</v>
      </c>
      <c r="B2" s="3" t="s">
        <v>6</v>
      </c>
    </row>
    <row r="3" spans="1:2" x14ac:dyDescent="0.2">
      <c r="A3" s="3" t="s">
        <v>5</v>
      </c>
      <c r="B3" s="3" t="s">
        <v>31</v>
      </c>
    </row>
    <row r="4" spans="1:2" x14ac:dyDescent="0.2">
      <c r="A4" s="3" t="s">
        <v>248</v>
      </c>
      <c r="B4" s="3" t="s">
        <v>34</v>
      </c>
    </row>
    <row r="5" spans="1:2" x14ac:dyDescent="0.2">
      <c r="A5" s="3" t="s">
        <v>249</v>
      </c>
      <c r="B5" s="3" t="s">
        <v>51</v>
      </c>
    </row>
    <row r="6" spans="1:2" x14ac:dyDescent="0.2">
      <c r="A6" s="3" t="s">
        <v>250</v>
      </c>
      <c r="B6" s="3" t="s">
        <v>220</v>
      </c>
    </row>
    <row r="7" spans="1:2" x14ac:dyDescent="0.2">
      <c r="A7" s="3" t="s">
        <v>40</v>
      </c>
      <c r="B7" s="3" t="s">
        <v>96</v>
      </c>
    </row>
    <row r="8" spans="1:2" x14ac:dyDescent="0.2">
      <c r="A8" s="3" t="s">
        <v>45</v>
      </c>
      <c r="B8" s="3" t="s">
        <v>102</v>
      </c>
    </row>
    <row r="9" spans="1:2" x14ac:dyDescent="0.2">
      <c r="A9" s="3" t="s">
        <v>50</v>
      </c>
      <c r="B9" s="3" t="s">
        <v>222</v>
      </c>
    </row>
    <row r="10" spans="1:2" x14ac:dyDescent="0.2">
      <c r="A10" s="3" t="s">
        <v>218</v>
      </c>
      <c r="B10" s="3" t="s">
        <v>105</v>
      </c>
    </row>
    <row r="11" spans="1:2" x14ac:dyDescent="0.2">
      <c r="A11" s="3" t="s">
        <v>251</v>
      </c>
      <c r="B11" s="3" t="s">
        <v>114</v>
      </c>
    </row>
    <row r="12" spans="1:2" x14ac:dyDescent="0.2">
      <c r="A12" s="3" t="s">
        <v>65</v>
      </c>
      <c r="B12" s="3" t="s">
        <v>117</v>
      </c>
    </row>
    <row r="13" spans="1:2" x14ac:dyDescent="0.2">
      <c r="A13" s="3" t="s">
        <v>39</v>
      </c>
      <c r="B13" s="3" t="s">
        <v>120</v>
      </c>
    </row>
    <row r="14" spans="1:2" x14ac:dyDescent="0.2">
      <c r="A14" s="3" t="s">
        <v>252</v>
      </c>
      <c r="B14" s="3" t="s">
        <v>126</v>
      </c>
    </row>
    <row r="15" spans="1:2" x14ac:dyDescent="0.2">
      <c r="A15" s="3" t="s">
        <v>253</v>
      </c>
      <c r="B15" s="3" t="s">
        <v>129</v>
      </c>
    </row>
    <row r="16" spans="1:2" x14ac:dyDescent="0.2">
      <c r="A16" s="3" t="s">
        <v>85</v>
      </c>
      <c r="B16" s="3" t="s">
        <v>132</v>
      </c>
    </row>
    <row r="17" spans="1:2" x14ac:dyDescent="0.2">
      <c r="A17" s="3" t="s">
        <v>254</v>
      </c>
      <c r="B17" s="3" t="s">
        <v>223</v>
      </c>
    </row>
    <row r="18" spans="1:2" x14ac:dyDescent="0.2">
      <c r="A18" s="3" t="s">
        <v>95</v>
      </c>
      <c r="B18" s="3" t="s">
        <v>147</v>
      </c>
    </row>
    <row r="19" spans="1:2" x14ac:dyDescent="0.2">
      <c r="A19" s="3" t="s">
        <v>255</v>
      </c>
      <c r="B19" s="3" t="s">
        <v>256</v>
      </c>
    </row>
    <row r="20" spans="1:2" x14ac:dyDescent="0.2">
      <c r="A20" s="3" t="s">
        <v>98</v>
      </c>
      <c r="B20" s="3" t="s">
        <v>150</v>
      </c>
    </row>
    <row r="21" spans="1:2" x14ac:dyDescent="0.2">
      <c r="A21" s="3" t="s">
        <v>257</v>
      </c>
      <c r="B21" s="3" t="s">
        <v>49</v>
      </c>
    </row>
    <row r="22" spans="1:2" x14ac:dyDescent="0.2">
      <c r="A22" s="3" t="s">
        <v>258</v>
      </c>
      <c r="B22" s="3" t="s">
        <v>159</v>
      </c>
    </row>
    <row r="23" spans="1:2" x14ac:dyDescent="0.2">
      <c r="A23" s="3" t="s">
        <v>101</v>
      </c>
      <c r="B23" s="3" t="s">
        <v>76</v>
      </c>
    </row>
    <row r="24" spans="1:2" x14ac:dyDescent="0.2">
      <c r="A24" s="3" t="s">
        <v>104</v>
      </c>
      <c r="B24" s="3" t="s">
        <v>259</v>
      </c>
    </row>
    <row r="25" spans="1:2" x14ac:dyDescent="0.2">
      <c r="A25" s="3" t="s">
        <v>110</v>
      </c>
      <c r="B25" s="3" t="s">
        <v>260</v>
      </c>
    </row>
    <row r="26" spans="1:2" x14ac:dyDescent="0.2">
      <c r="A26" s="3" t="s">
        <v>122</v>
      </c>
      <c r="B26" s="3" t="s">
        <v>162</v>
      </c>
    </row>
    <row r="27" spans="1:2" x14ac:dyDescent="0.2">
      <c r="A27" s="3" t="s">
        <v>128</v>
      </c>
      <c r="B27" s="3" t="s">
        <v>224</v>
      </c>
    </row>
    <row r="28" spans="1:2" x14ac:dyDescent="0.2">
      <c r="A28" s="3" t="s">
        <v>261</v>
      </c>
      <c r="B28" s="3" t="s">
        <v>262</v>
      </c>
    </row>
    <row r="29" spans="1:2" x14ac:dyDescent="0.2">
      <c r="A29" s="3" t="s">
        <v>263</v>
      </c>
      <c r="B29" s="3" t="s">
        <v>165</v>
      </c>
    </row>
    <row r="30" spans="1:2" x14ac:dyDescent="0.2">
      <c r="A30" s="3" t="s">
        <v>264</v>
      </c>
      <c r="B30" s="3" t="s">
        <v>198</v>
      </c>
    </row>
    <row r="31" spans="1:2" x14ac:dyDescent="0.2">
      <c r="A31" s="3" t="s">
        <v>140</v>
      </c>
    </row>
    <row r="32" spans="1:2" x14ac:dyDescent="0.2">
      <c r="A32" s="3" t="s">
        <v>143</v>
      </c>
    </row>
    <row r="33" spans="1:1" x14ac:dyDescent="0.2">
      <c r="A33" s="3" t="s">
        <v>265</v>
      </c>
    </row>
    <row r="34" spans="1:1" x14ac:dyDescent="0.2">
      <c r="A34" s="3" t="s">
        <v>266</v>
      </c>
    </row>
    <row r="35" spans="1:1" x14ac:dyDescent="0.2">
      <c r="A35" s="3" t="s">
        <v>146</v>
      </c>
    </row>
    <row r="36" spans="1:1" x14ac:dyDescent="0.2">
      <c r="A36" s="3" t="s">
        <v>267</v>
      </c>
    </row>
    <row r="37" spans="1:1" x14ac:dyDescent="0.2">
      <c r="A37" s="3" t="s">
        <v>152</v>
      </c>
    </row>
    <row r="38" spans="1:1" x14ac:dyDescent="0.2">
      <c r="A38" s="3" t="s">
        <v>155</v>
      </c>
    </row>
    <row r="39" spans="1:1" x14ac:dyDescent="0.2">
      <c r="A39" s="3" t="s">
        <v>158</v>
      </c>
    </row>
    <row r="40" spans="1:1" x14ac:dyDescent="0.2">
      <c r="A40" s="3" t="s">
        <v>161</v>
      </c>
    </row>
    <row r="41" spans="1:1" x14ac:dyDescent="0.2">
      <c r="A41" s="3" t="s">
        <v>161</v>
      </c>
    </row>
    <row r="42" spans="1:1" x14ac:dyDescent="0.2">
      <c r="A42" s="3" t="s">
        <v>164</v>
      </c>
    </row>
    <row r="43" spans="1:1" x14ac:dyDescent="0.2">
      <c r="A43" s="3" t="s">
        <v>167</v>
      </c>
    </row>
    <row r="44" spans="1:1" x14ac:dyDescent="0.2">
      <c r="A44" s="3" t="s">
        <v>170</v>
      </c>
    </row>
    <row r="45" spans="1:1" x14ac:dyDescent="0.2">
      <c r="A45" s="3" t="s">
        <v>176</v>
      </c>
    </row>
    <row r="46" spans="1:1" x14ac:dyDescent="0.2">
      <c r="A46" s="3" t="s">
        <v>269</v>
      </c>
    </row>
    <row r="47" spans="1:1" x14ac:dyDescent="0.2">
      <c r="A47" s="3" t="s">
        <v>270</v>
      </c>
    </row>
    <row r="48" spans="1:1" x14ac:dyDescent="0.2">
      <c r="A48" s="3" t="s">
        <v>271</v>
      </c>
    </row>
    <row r="49" spans="1:1" x14ac:dyDescent="0.2">
      <c r="A49" s="3" t="s">
        <v>272</v>
      </c>
    </row>
    <row r="50" spans="1:1" x14ac:dyDescent="0.2">
      <c r="A50" s="3" t="s">
        <v>273</v>
      </c>
    </row>
    <row r="51" spans="1:1" x14ac:dyDescent="0.2">
      <c r="A51" s="3" t="s">
        <v>274</v>
      </c>
    </row>
    <row r="52" spans="1:1" x14ac:dyDescent="0.2">
      <c r="A52" s="3" t="s">
        <v>275</v>
      </c>
    </row>
    <row r="53" spans="1:1" x14ac:dyDescent="0.2">
      <c r="A53" s="3" t="s">
        <v>203</v>
      </c>
    </row>
    <row r="54" spans="1:1" x14ac:dyDescent="0.2">
      <c r="A54" s="3" t="s">
        <v>276</v>
      </c>
    </row>
    <row r="55" spans="1:1" x14ac:dyDescent="0.2">
      <c r="A55" s="3" t="s">
        <v>277</v>
      </c>
    </row>
    <row r="56" spans="1:1" x14ac:dyDescent="0.2">
      <c r="A56" s="3" t="s">
        <v>278</v>
      </c>
    </row>
    <row r="57" spans="1:1" x14ac:dyDescent="0.2">
      <c r="A57" s="3" t="s">
        <v>279</v>
      </c>
    </row>
  </sheetData>
  <sortState xmlns:xlrd2="http://schemas.microsoft.com/office/spreadsheetml/2017/richdata2" ref="B2:B31">
    <sortCondition ref="B2:B31"/>
  </sortState>
  <pageMargins left="0.7" right="0.7" top="0.75" bottom="0.75" header="0.3" footer="0.3"/>
  <pageSetup scale="5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4ABC8-3E90-4153-947D-671A731C5AD5}">
  <sheetPr codeName="Sheet10">
    <pageSetUpPr fitToPage="1"/>
  </sheetPr>
  <dimension ref="A1:B76"/>
  <sheetViews>
    <sheetView zoomScale="81" zoomScaleNormal="50" workbookViewId="0">
      <selection activeCell="B2" sqref="B2:B65"/>
    </sheetView>
  </sheetViews>
  <sheetFormatPr baseColWidth="10" defaultColWidth="8.6640625" defaultRowHeight="15" x14ac:dyDescent="0.2"/>
  <cols>
    <col min="1" max="1" width="30.33203125" bestFit="1" customWidth="1"/>
    <col min="2" max="2" width="42.1640625" customWidth="1"/>
  </cols>
  <sheetData>
    <row r="1" spans="1:2" x14ac:dyDescent="0.2">
      <c r="A1" s="1" t="s">
        <v>308</v>
      </c>
      <c r="B1" s="1" t="s">
        <v>309</v>
      </c>
    </row>
    <row r="2" spans="1:2" x14ac:dyDescent="0.2">
      <c r="A2" s="3" t="s">
        <v>247</v>
      </c>
      <c r="B2" s="3" t="s">
        <v>6</v>
      </c>
    </row>
    <row r="3" spans="1:2" x14ac:dyDescent="0.2">
      <c r="A3" s="3" t="s">
        <v>5</v>
      </c>
      <c r="B3" s="2" t="s">
        <v>11</v>
      </c>
    </row>
    <row r="4" spans="1:2" x14ac:dyDescent="0.2">
      <c r="A4" s="3" t="s">
        <v>248</v>
      </c>
      <c r="B4" s="2" t="s">
        <v>16</v>
      </c>
    </row>
    <row r="5" spans="1:2" x14ac:dyDescent="0.2">
      <c r="A5" s="2" t="s">
        <v>280</v>
      </c>
      <c r="B5" s="2" t="s">
        <v>21</v>
      </c>
    </row>
    <row r="6" spans="1:2" x14ac:dyDescent="0.2">
      <c r="A6" s="2" t="s">
        <v>281</v>
      </c>
      <c r="B6" s="2" t="s">
        <v>26</v>
      </c>
    </row>
    <row r="7" spans="1:2" x14ac:dyDescent="0.2">
      <c r="A7" s="2" t="s">
        <v>27</v>
      </c>
      <c r="B7" s="2" t="s">
        <v>10</v>
      </c>
    </row>
    <row r="8" spans="1:2" x14ac:dyDescent="0.2">
      <c r="A8" s="2" t="s">
        <v>282</v>
      </c>
      <c r="B8" s="2" t="s">
        <v>15</v>
      </c>
    </row>
    <row r="9" spans="1:2" x14ac:dyDescent="0.2">
      <c r="A9" s="3" t="s">
        <v>40</v>
      </c>
      <c r="B9" s="2" t="s">
        <v>14</v>
      </c>
    </row>
    <row r="10" spans="1:2" x14ac:dyDescent="0.2">
      <c r="A10" s="3" t="s">
        <v>45</v>
      </c>
      <c r="B10" s="2" t="s">
        <v>19</v>
      </c>
    </row>
    <row r="11" spans="1:2" x14ac:dyDescent="0.2">
      <c r="A11" s="2" t="s">
        <v>60</v>
      </c>
      <c r="B11" s="2" t="s">
        <v>24</v>
      </c>
    </row>
    <row r="12" spans="1:2" x14ac:dyDescent="0.2">
      <c r="A12" s="2" t="s">
        <v>284</v>
      </c>
      <c r="B12" s="2" t="s">
        <v>29</v>
      </c>
    </row>
    <row r="13" spans="1:2" x14ac:dyDescent="0.2">
      <c r="A13" s="2" t="s">
        <v>69</v>
      </c>
      <c r="B13" s="2" t="s">
        <v>268</v>
      </c>
    </row>
    <row r="14" spans="1:2" x14ac:dyDescent="0.2">
      <c r="A14" s="2" t="s">
        <v>285</v>
      </c>
      <c r="B14" s="2" t="s">
        <v>25</v>
      </c>
    </row>
    <row r="15" spans="1:2" x14ac:dyDescent="0.2">
      <c r="A15" s="2" t="s">
        <v>73</v>
      </c>
      <c r="B15" s="3" t="s">
        <v>31</v>
      </c>
    </row>
    <row r="16" spans="1:2" x14ac:dyDescent="0.2">
      <c r="A16" s="2" t="s">
        <v>67</v>
      </c>
      <c r="B16" s="2" t="s">
        <v>41</v>
      </c>
    </row>
    <row r="17" spans="1:2" x14ac:dyDescent="0.2">
      <c r="A17" s="2" t="s">
        <v>71</v>
      </c>
      <c r="B17" s="2" t="s">
        <v>231</v>
      </c>
    </row>
    <row r="18" spans="1:2" x14ac:dyDescent="0.2">
      <c r="A18" s="2" t="s">
        <v>77</v>
      </c>
      <c r="B18" s="2" t="s">
        <v>46</v>
      </c>
    </row>
    <row r="19" spans="1:2" x14ac:dyDescent="0.2">
      <c r="A19" s="2" t="s">
        <v>286</v>
      </c>
      <c r="B19" s="3" t="s">
        <v>34</v>
      </c>
    </row>
    <row r="20" spans="1:2" x14ac:dyDescent="0.2">
      <c r="A20" s="2" t="s">
        <v>287</v>
      </c>
      <c r="B20" s="2" t="s">
        <v>56</v>
      </c>
    </row>
    <row r="21" spans="1:2" x14ac:dyDescent="0.2">
      <c r="A21" s="3" t="s">
        <v>39</v>
      </c>
      <c r="B21" s="2" t="s">
        <v>61</v>
      </c>
    </row>
    <row r="22" spans="1:2" x14ac:dyDescent="0.2">
      <c r="A22" s="3" t="s">
        <v>85</v>
      </c>
      <c r="B22" s="3" t="s">
        <v>220</v>
      </c>
    </row>
    <row r="23" spans="1:2" x14ac:dyDescent="0.2">
      <c r="A23" s="2" t="s">
        <v>288</v>
      </c>
      <c r="B23" s="2" t="s">
        <v>78</v>
      </c>
    </row>
    <row r="24" spans="1:2" x14ac:dyDescent="0.2">
      <c r="A24" s="2" t="s">
        <v>89</v>
      </c>
      <c r="B24" s="2" t="s">
        <v>82</v>
      </c>
    </row>
    <row r="25" spans="1:2" x14ac:dyDescent="0.2">
      <c r="A25" s="2" t="s">
        <v>92</v>
      </c>
      <c r="B25" s="2" t="s">
        <v>86</v>
      </c>
    </row>
    <row r="26" spans="1:2" x14ac:dyDescent="0.2">
      <c r="A26" s="3" t="s">
        <v>98</v>
      </c>
      <c r="B26" s="2" t="s">
        <v>90</v>
      </c>
    </row>
    <row r="27" spans="1:2" x14ac:dyDescent="0.2">
      <c r="A27" s="2" t="s">
        <v>289</v>
      </c>
      <c r="B27" s="2" t="s">
        <v>93</v>
      </c>
    </row>
    <row r="28" spans="1:2" x14ac:dyDescent="0.2">
      <c r="A28" s="3" t="s">
        <v>257</v>
      </c>
      <c r="B28" s="2" t="s">
        <v>28</v>
      </c>
    </row>
    <row r="29" spans="1:2" x14ac:dyDescent="0.2">
      <c r="A29" s="3" t="s">
        <v>258</v>
      </c>
      <c r="B29" s="2" t="s">
        <v>33</v>
      </c>
    </row>
    <row r="30" spans="1:2" x14ac:dyDescent="0.2">
      <c r="A30" s="3" t="s">
        <v>101</v>
      </c>
      <c r="B30" s="2" t="s">
        <v>38</v>
      </c>
    </row>
    <row r="31" spans="1:2" x14ac:dyDescent="0.2">
      <c r="A31" s="3" t="s">
        <v>104</v>
      </c>
      <c r="B31" s="2" t="s">
        <v>43</v>
      </c>
    </row>
    <row r="32" spans="1:2" x14ac:dyDescent="0.2">
      <c r="A32" s="3" t="s">
        <v>110</v>
      </c>
      <c r="B32" s="2" t="s">
        <v>99</v>
      </c>
    </row>
    <row r="33" spans="1:2" x14ac:dyDescent="0.2">
      <c r="A33" s="2" t="s">
        <v>290</v>
      </c>
      <c r="B33" s="3" t="s">
        <v>222</v>
      </c>
    </row>
    <row r="34" spans="1:2" x14ac:dyDescent="0.2">
      <c r="A34" s="3" t="s">
        <v>122</v>
      </c>
      <c r="B34" s="3" t="s">
        <v>105</v>
      </c>
    </row>
    <row r="35" spans="1:2" x14ac:dyDescent="0.2">
      <c r="A35" s="2" t="s">
        <v>291</v>
      </c>
      <c r="B35" s="2" t="s">
        <v>108</v>
      </c>
    </row>
    <row r="36" spans="1:2" x14ac:dyDescent="0.2">
      <c r="A36" s="2" t="s">
        <v>127</v>
      </c>
      <c r="B36" s="2" t="s">
        <v>111</v>
      </c>
    </row>
    <row r="37" spans="1:2" x14ac:dyDescent="0.2">
      <c r="A37" s="2" t="s">
        <v>130</v>
      </c>
      <c r="B37" s="3" t="s">
        <v>120</v>
      </c>
    </row>
    <row r="38" spans="1:2" x14ac:dyDescent="0.2">
      <c r="A38" s="2" t="s">
        <v>133</v>
      </c>
      <c r="B38" s="2" t="s">
        <v>123</v>
      </c>
    </row>
    <row r="39" spans="1:2" x14ac:dyDescent="0.2">
      <c r="A39" s="2" t="s">
        <v>292</v>
      </c>
      <c r="B39" s="2" t="s">
        <v>283</v>
      </c>
    </row>
    <row r="40" spans="1:2" x14ac:dyDescent="0.2">
      <c r="A40" s="2" t="s">
        <v>134</v>
      </c>
      <c r="B40" s="3" t="s">
        <v>126</v>
      </c>
    </row>
    <row r="41" spans="1:2" x14ac:dyDescent="0.2">
      <c r="A41" s="3" t="s">
        <v>140</v>
      </c>
      <c r="B41" s="3" t="s">
        <v>129</v>
      </c>
    </row>
    <row r="42" spans="1:2" x14ac:dyDescent="0.2">
      <c r="A42" s="3" t="s">
        <v>143</v>
      </c>
      <c r="B42" s="2" t="s">
        <v>44</v>
      </c>
    </row>
    <row r="43" spans="1:2" x14ac:dyDescent="0.2">
      <c r="A43" s="2" t="s">
        <v>294</v>
      </c>
      <c r="B43" s="2" t="s">
        <v>141</v>
      </c>
    </row>
    <row r="44" spans="1:2" x14ac:dyDescent="0.2">
      <c r="A44" s="3" t="s">
        <v>146</v>
      </c>
      <c r="B44" s="3" t="s">
        <v>223</v>
      </c>
    </row>
    <row r="45" spans="1:2" x14ac:dyDescent="0.2">
      <c r="A45" s="2" t="s">
        <v>295</v>
      </c>
      <c r="B45" s="3" t="s">
        <v>147</v>
      </c>
    </row>
    <row r="46" spans="1:2" x14ac:dyDescent="0.2">
      <c r="A46" s="2" t="s">
        <v>149</v>
      </c>
      <c r="B46" s="3" t="s">
        <v>256</v>
      </c>
    </row>
    <row r="47" spans="1:2" x14ac:dyDescent="0.2">
      <c r="A47" s="3" t="s">
        <v>152</v>
      </c>
      <c r="B47" s="3" t="s">
        <v>49</v>
      </c>
    </row>
    <row r="48" spans="1:2" x14ac:dyDescent="0.2">
      <c r="A48" s="3" t="s">
        <v>155</v>
      </c>
      <c r="B48" s="3" t="s">
        <v>159</v>
      </c>
    </row>
    <row r="49" spans="1:2" x14ac:dyDescent="0.2">
      <c r="A49" s="2" t="s">
        <v>296</v>
      </c>
      <c r="B49" s="3" t="s">
        <v>76</v>
      </c>
    </row>
    <row r="50" spans="1:2" x14ac:dyDescent="0.2">
      <c r="A50" s="2" t="s">
        <v>297</v>
      </c>
      <c r="B50" s="3" t="s">
        <v>259</v>
      </c>
    </row>
    <row r="51" spans="1:2" x14ac:dyDescent="0.2">
      <c r="A51" s="2" t="s">
        <v>173</v>
      </c>
      <c r="B51" s="3" t="s">
        <v>260</v>
      </c>
    </row>
    <row r="52" spans="1:2" x14ac:dyDescent="0.2">
      <c r="A52" s="2" t="s">
        <v>298</v>
      </c>
      <c r="B52" s="3" t="s">
        <v>224</v>
      </c>
    </row>
    <row r="53" spans="1:2" x14ac:dyDescent="0.2">
      <c r="A53" s="3" t="s">
        <v>269</v>
      </c>
      <c r="B53" s="3" t="s">
        <v>262</v>
      </c>
    </row>
    <row r="54" spans="1:2" x14ac:dyDescent="0.2">
      <c r="A54" s="2" t="s">
        <v>299</v>
      </c>
      <c r="B54" s="2" t="s">
        <v>168</v>
      </c>
    </row>
    <row r="55" spans="1:2" x14ac:dyDescent="0.2">
      <c r="A55" s="3" t="s">
        <v>270</v>
      </c>
      <c r="B55" s="2" t="s">
        <v>171</v>
      </c>
    </row>
    <row r="56" spans="1:2" x14ac:dyDescent="0.2">
      <c r="A56" s="2" t="s">
        <v>80</v>
      </c>
      <c r="B56" s="2" t="s">
        <v>174</v>
      </c>
    </row>
    <row r="57" spans="1:2" x14ac:dyDescent="0.2">
      <c r="A57" s="2" t="s">
        <v>84</v>
      </c>
      <c r="B57" s="2" t="s">
        <v>177</v>
      </c>
    </row>
    <row r="58" spans="1:2" x14ac:dyDescent="0.2">
      <c r="A58" s="2" t="s">
        <v>179</v>
      </c>
      <c r="B58" s="2" t="s">
        <v>180</v>
      </c>
    </row>
    <row r="59" spans="1:2" x14ac:dyDescent="0.2">
      <c r="A59" s="2" t="s">
        <v>300</v>
      </c>
      <c r="B59" s="2" t="s">
        <v>183</v>
      </c>
    </row>
    <row r="60" spans="1:2" x14ac:dyDescent="0.2">
      <c r="A60" s="2" t="s">
        <v>301</v>
      </c>
      <c r="B60" s="2" t="s">
        <v>186</v>
      </c>
    </row>
    <row r="61" spans="1:2" x14ac:dyDescent="0.2">
      <c r="A61" s="2" t="s">
        <v>182</v>
      </c>
      <c r="B61" s="2" t="s">
        <v>189</v>
      </c>
    </row>
    <row r="62" spans="1:2" x14ac:dyDescent="0.2">
      <c r="A62" s="3" t="s">
        <v>271</v>
      </c>
      <c r="B62" s="2" t="s">
        <v>192</v>
      </c>
    </row>
    <row r="63" spans="1:2" x14ac:dyDescent="0.2">
      <c r="A63" s="2" t="s">
        <v>185</v>
      </c>
      <c r="B63" s="2" t="s">
        <v>195</v>
      </c>
    </row>
    <row r="64" spans="1:2" x14ac:dyDescent="0.2">
      <c r="A64" s="2" t="s">
        <v>302</v>
      </c>
      <c r="B64" s="2" t="s">
        <v>201</v>
      </c>
    </row>
    <row r="65" spans="1:2" x14ac:dyDescent="0.2">
      <c r="A65" s="2" t="s">
        <v>303</v>
      </c>
      <c r="B65" s="2" t="s">
        <v>204</v>
      </c>
    </row>
    <row r="66" spans="1:2" x14ac:dyDescent="0.2">
      <c r="A66" s="3" t="s">
        <v>273</v>
      </c>
    </row>
    <row r="67" spans="1:2" x14ac:dyDescent="0.2">
      <c r="A67" s="2" t="s">
        <v>188</v>
      </c>
    </row>
    <row r="68" spans="1:2" x14ac:dyDescent="0.2">
      <c r="A68" s="3" t="s">
        <v>274</v>
      </c>
    </row>
    <row r="69" spans="1:2" x14ac:dyDescent="0.2">
      <c r="A69" s="2" t="s">
        <v>304</v>
      </c>
    </row>
    <row r="70" spans="1:2" x14ac:dyDescent="0.2">
      <c r="A70" s="2" t="s">
        <v>194</v>
      </c>
    </row>
    <row r="71" spans="1:2" x14ac:dyDescent="0.2">
      <c r="A71" s="2" t="s">
        <v>305</v>
      </c>
    </row>
    <row r="72" spans="1:2" x14ac:dyDescent="0.2">
      <c r="A72" s="3" t="s">
        <v>275</v>
      </c>
    </row>
    <row r="73" spans="1:2" x14ac:dyDescent="0.2">
      <c r="A73" s="2" t="s">
        <v>54</v>
      </c>
    </row>
    <row r="74" spans="1:2" x14ac:dyDescent="0.2">
      <c r="A74" s="2" t="s">
        <v>306</v>
      </c>
    </row>
    <row r="75" spans="1:2" x14ac:dyDescent="0.2">
      <c r="A75" s="3" t="s">
        <v>276</v>
      </c>
    </row>
    <row r="76" spans="1:2" x14ac:dyDescent="0.2">
      <c r="A76" s="2" t="s">
        <v>206</v>
      </c>
    </row>
  </sheetData>
  <sortState xmlns:xlrd2="http://schemas.microsoft.com/office/spreadsheetml/2017/richdata2" ref="B3:B65">
    <sortCondition ref="B2:B65"/>
  </sortState>
  <pageMargins left="0.7" right="0.7" top="0.75" bottom="0.75" header="0.3" footer="0.3"/>
  <pageSetup scale="5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78FF7-7A1D-4E9E-B7E2-EC0FF2ACE046}">
  <sheetPr codeName="Sheet11">
    <pageSetUpPr fitToPage="1"/>
  </sheetPr>
  <dimension ref="A1:B73"/>
  <sheetViews>
    <sheetView zoomScale="98" zoomScaleNormal="98" workbookViewId="0">
      <selection activeCell="B2" sqref="B2:B69"/>
    </sheetView>
  </sheetViews>
  <sheetFormatPr baseColWidth="10" defaultColWidth="8.6640625" defaultRowHeight="15" x14ac:dyDescent="0.2"/>
  <cols>
    <col min="1" max="1" width="47" bestFit="1" customWidth="1"/>
    <col min="2" max="2" width="58.1640625" bestFit="1" customWidth="1"/>
  </cols>
  <sheetData>
    <row r="1" spans="1:2" x14ac:dyDescent="0.2">
      <c r="A1" s="1" t="s">
        <v>308</v>
      </c>
      <c r="B1" s="1" t="s">
        <v>309</v>
      </c>
    </row>
    <row r="2" spans="1:2" x14ac:dyDescent="0.2">
      <c r="A2" s="2" t="s">
        <v>282</v>
      </c>
      <c r="B2" s="3" t="s">
        <v>6</v>
      </c>
    </row>
    <row r="3" spans="1:2" x14ac:dyDescent="0.2">
      <c r="A3" s="2" t="s">
        <v>92</v>
      </c>
      <c r="B3" s="2" t="s">
        <v>11</v>
      </c>
    </row>
    <row r="4" spans="1:2" x14ac:dyDescent="0.2">
      <c r="A4" s="4" t="s">
        <v>100</v>
      </c>
      <c r="B4" s="2" t="s">
        <v>16</v>
      </c>
    </row>
    <row r="5" spans="1:2" x14ac:dyDescent="0.2">
      <c r="A5" s="3" t="s">
        <v>247</v>
      </c>
      <c r="B5" s="2" t="s">
        <v>10</v>
      </c>
    </row>
    <row r="6" spans="1:2" x14ac:dyDescent="0.2">
      <c r="A6" s="3" t="s">
        <v>5</v>
      </c>
      <c r="B6" s="2" t="s">
        <v>15</v>
      </c>
    </row>
    <row r="7" spans="1:2" x14ac:dyDescent="0.2">
      <c r="A7" s="4" t="s">
        <v>137</v>
      </c>
      <c r="B7" s="2" t="s">
        <v>14</v>
      </c>
    </row>
    <row r="8" spans="1:2" x14ac:dyDescent="0.2">
      <c r="A8" s="2" t="s">
        <v>127</v>
      </c>
      <c r="B8" s="2" t="s">
        <v>19</v>
      </c>
    </row>
    <row r="9" spans="1:2" x14ac:dyDescent="0.2">
      <c r="A9" s="2" t="s">
        <v>130</v>
      </c>
      <c r="B9" s="2" t="s">
        <v>24</v>
      </c>
    </row>
    <row r="10" spans="1:2" x14ac:dyDescent="0.2">
      <c r="A10" s="2" t="s">
        <v>133</v>
      </c>
      <c r="B10" s="2" t="s">
        <v>29</v>
      </c>
    </row>
    <row r="11" spans="1:2" x14ac:dyDescent="0.2">
      <c r="A11" s="3" t="s">
        <v>274</v>
      </c>
      <c r="B11" s="2" t="s">
        <v>268</v>
      </c>
    </row>
    <row r="12" spans="1:2" x14ac:dyDescent="0.2">
      <c r="A12" s="4" t="s">
        <v>9</v>
      </c>
      <c r="B12" s="2" t="s">
        <v>25</v>
      </c>
    </row>
    <row r="13" spans="1:2" x14ac:dyDescent="0.2">
      <c r="A13" s="4" t="s">
        <v>20</v>
      </c>
      <c r="B13" s="4" t="s">
        <v>30</v>
      </c>
    </row>
    <row r="14" spans="1:2" x14ac:dyDescent="0.2">
      <c r="A14" s="3" t="s">
        <v>248</v>
      </c>
      <c r="B14" s="4" t="s">
        <v>35</v>
      </c>
    </row>
    <row r="15" spans="1:2" x14ac:dyDescent="0.2">
      <c r="A15" s="3" t="s">
        <v>40</v>
      </c>
      <c r="B15" s="3" t="s">
        <v>31</v>
      </c>
    </row>
    <row r="16" spans="1:2" x14ac:dyDescent="0.2">
      <c r="A16" s="3" t="s">
        <v>45</v>
      </c>
      <c r="B16" s="4" t="s">
        <v>36</v>
      </c>
    </row>
    <row r="17" spans="1:2" x14ac:dyDescent="0.2">
      <c r="A17" s="2" t="s">
        <v>303</v>
      </c>
      <c r="B17" s="2" t="s">
        <v>231</v>
      </c>
    </row>
    <row r="18" spans="1:2" x14ac:dyDescent="0.2">
      <c r="A18" s="4" t="s">
        <v>131</v>
      </c>
      <c r="B18" s="3" t="s">
        <v>34</v>
      </c>
    </row>
    <row r="19" spans="1:2" x14ac:dyDescent="0.2">
      <c r="A19" s="3" t="s">
        <v>110</v>
      </c>
      <c r="B19" s="3" t="s">
        <v>51</v>
      </c>
    </row>
    <row r="20" spans="1:2" x14ac:dyDescent="0.2">
      <c r="A20" s="4" t="s">
        <v>116</v>
      </c>
      <c r="B20" s="2" t="s">
        <v>56</v>
      </c>
    </row>
    <row r="21" spans="1:2" x14ac:dyDescent="0.2">
      <c r="A21" s="2" t="s">
        <v>290</v>
      </c>
      <c r="B21" s="2" t="s">
        <v>61</v>
      </c>
    </row>
    <row r="22" spans="1:2" x14ac:dyDescent="0.2">
      <c r="A22" s="3" t="s">
        <v>101</v>
      </c>
      <c r="B22" s="4" t="s">
        <v>66</v>
      </c>
    </row>
    <row r="23" spans="1:2" x14ac:dyDescent="0.2">
      <c r="A23" s="3" t="s">
        <v>143</v>
      </c>
      <c r="B23" s="3" t="s">
        <v>220</v>
      </c>
    </row>
    <row r="24" spans="1:2" x14ac:dyDescent="0.2">
      <c r="A24" s="4" t="s">
        <v>191</v>
      </c>
      <c r="B24" s="4" t="s">
        <v>23</v>
      </c>
    </row>
    <row r="25" spans="1:2" x14ac:dyDescent="0.2">
      <c r="A25" s="4" t="s">
        <v>169</v>
      </c>
      <c r="B25" s="2" t="s">
        <v>28</v>
      </c>
    </row>
    <row r="26" spans="1:2" x14ac:dyDescent="0.2">
      <c r="A26" s="2" t="s">
        <v>298</v>
      </c>
      <c r="B26" s="2" t="s">
        <v>33</v>
      </c>
    </row>
    <row r="27" spans="1:2" x14ac:dyDescent="0.2">
      <c r="A27" s="3" t="s">
        <v>269</v>
      </c>
      <c r="B27" s="2" t="s">
        <v>38</v>
      </c>
    </row>
    <row r="28" spans="1:2" x14ac:dyDescent="0.2">
      <c r="A28" s="4" t="s">
        <v>307</v>
      </c>
      <c r="B28" s="2" t="s">
        <v>43</v>
      </c>
    </row>
    <row r="29" spans="1:2" x14ac:dyDescent="0.2">
      <c r="A29" s="4" t="s">
        <v>197</v>
      </c>
      <c r="B29" s="4" t="s">
        <v>293</v>
      </c>
    </row>
    <row r="30" spans="1:2" x14ac:dyDescent="0.2">
      <c r="A30" s="4" t="s">
        <v>55</v>
      </c>
      <c r="B30" s="2" t="s">
        <v>99</v>
      </c>
    </row>
    <row r="31" spans="1:2" x14ac:dyDescent="0.2">
      <c r="A31" s="4" t="s">
        <v>148</v>
      </c>
      <c r="B31" s="3" t="s">
        <v>222</v>
      </c>
    </row>
    <row r="32" spans="1:2" x14ac:dyDescent="0.2">
      <c r="A32" s="2" t="s">
        <v>284</v>
      </c>
      <c r="B32" s="3" t="s">
        <v>105</v>
      </c>
    </row>
    <row r="33" spans="1:2" x14ac:dyDescent="0.2">
      <c r="A33" s="3" t="s">
        <v>146</v>
      </c>
      <c r="B33" s="4" t="s">
        <v>58</v>
      </c>
    </row>
    <row r="34" spans="1:2" x14ac:dyDescent="0.2">
      <c r="A34" s="2" t="s">
        <v>285</v>
      </c>
      <c r="B34" s="2" t="s">
        <v>111</v>
      </c>
    </row>
    <row r="35" spans="1:2" x14ac:dyDescent="0.2">
      <c r="A35" s="4" t="s">
        <v>113</v>
      </c>
      <c r="B35" s="3" t="s">
        <v>117</v>
      </c>
    </row>
    <row r="36" spans="1:2" x14ac:dyDescent="0.2">
      <c r="A36" s="3" t="s">
        <v>257</v>
      </c>
      <c r="B36" s="3" t="s">
        <v>120</v>
      </c>
    </row>
    <row r="37" spans="1:2" x14ac:dyDescent="0.2">
      <c r="A37" s="2" t="s">
        <v>73</v>
      </c>
      <c r="B37" s="2" t="s">
        <v>123</v>
      </c>
    </row>
    <row r="38" spans="1:2" x14ac:dyDescent="0.2">
      <c r="A38" s="2" t="s">
        <v>194</v>
      </c>
      <c r="B38" s="2" t="s">
        <v>283</v>
      </c>
    </row>
    <row r="39" spans="1:2" x14ac:dyDescent="0.2">
      <c r="A39" s="3" t="s">
        <v>258</v>
      </c>
      <c r="B39" s="3" t="s">
        <v>126</v>
      </c>
    </row>
    <row r="40" spans="1:2" x14ac:dyDescent="0.2">
      <c r="A40" s="2" t="s">
        <v>67</v>
      </c>
      <c r="B40" s="3" t="s">
        <v>129</v>
      </c>
    </row>
    <row r="41" spans="1:2" x14ac:dyDescent="0.2">
      <c r="A41" s="3" t="s">
        <v>263</v>
      </c>
      <c r="B41" s="2" t="s">
        <v>44</v>
      </c>
    </row>
    <row r="42" spans="1:2" x14ac:dyDescent="0.2">
      <c r="A42" s="2" t="s">
        <v>280</v>
      </c>
      <c r="B42" s="4" t="s">
        <v>135</v>
      </c>
    </row>
    <row r="43" spans="1:2" x14ac:dyDescent="0.2">
      <c r="A43" s="2" t="s">
        <v>27</v>
      </c>
      <c r="B43" s="4" t="s">
        <v>138</v>
      </c>
    </row>
    <row r="44" spans="1:2" x14ac:dyDescent="0.2">
      <c r="A44" s="2" t="s">
        <v>71</v>
      </c>
      <c r="B44" s="2" t="s">
        <v>141</v>
      </c>
    </row>
    <row r="45" spans="1:2" x14ac:dyDescent="0.2">
      <c r="A45" s="4" t="s">
        <v>124</v>
      </c>
      <c r="B45" s="4" t="s">
        <v>144</v>
      </c>
    </row>
    <row r="46" spans="1:2" x14ac:dyDescent="0.2">
      <c r="A46" s="4" t="s">
        <v>211</v>
      </c>
      <c r="B46" s="4" t="s">
        <v>166</v>
      </c>
    </row>
    <row r="47" spans="1:2" x14ac:dyDescent="0.2">
      <c r="A47" s="2" t="s">
        <v>305</v>
      </c>
      <c r="B47" s="4" t="s">
        <v>172</v>
      </c>
    </row>
    <row r="48" spans="1:2" x14ac:dyDescent="0.2">
      <c r="A48" s="3" t="s">
        <v>270</v>
      </c>
      <c r="B48" s="3" t="s">
        <v>223</v>
      </c>
    </row>
    <row r="49" spans="1:2" x14ac:dyDescent="0.2">
      <c r="A49" s="2" t="s">
        <v>77</v>
      </c>
      <c r="B49" s="3" t="s">
        <v>147</v>
      </c>
    </row>
    <row r="50" spans="1:2" x14ac:dyDescent="0.2">
      <c r="A50" s="3" t="s">
        <v>155</v>
      </c>
      <c r="B50" s="3" t="s">
        <v>256</v>
      </c>
    </row>
    <row r="51" spans="1:2" x14ac:dyDescent="0.2">
      <c r="A51" s="4" t="s">
        <v>81</v>
      </c>
      <c r="B51" s="3" t="s">
        <v>150</v>
      </c>
    </row>
    <row r="52" spans="1:2" x14ac:dyDescent="0.2">
      <c r="A52" s="2" t="s">
        <v>292</v>
      </c>
      <c r="B52" s="3" t="s">
        <v>49</v>
      </c>
    </row>
    <row r="53" spans="1:2" x14ac:dyDescent="0.2">
      <c r="A53" s="4" t="s">
        <v>119</v>
      </c>
      <c r="B53" s="4" t="s">
        <v>153</v>
      </c>
    </row>
    <row r="54" spans="1:2" x14ac:dyDescent="0.2">
      <c r="A54" s="2" t="s">
        <v>287</v>
      </c>
      <c r="B54" s="4" t="s">
        <v>156</v>
      </c>
    </row>
    <row r="55" spans="1:2" x14ac:dyDescent="0.2">
      <c r="A55" s="3" t="s">
        <v>273</v>
      </c>
      <c r="B55" s="4" t="s">
        <v>72</v>
      </c>
    </row>
    <row r="56" spans="1:2" x14ac:dyDescent="0.2">
      <c r="A56" s="4" t="s">
        <v>70</v>
      </c>
      <c r="B56" s="3" t="s">
        <v>159</v>
      </c>
    </row>
    <row r="57" spans="1:2" x14ac:dyDescent="0.2">
      <c r="A57" s="2" t="s">
        <v>182</v>
      </c>
      <c r="B57" s="3" t="s">
        <v>76</v>
      </c>
    </row>
    <row r="58" spans="1:2" x14ac:dyDescent="0.2">
      <c r="A58" s="2" t="s">
        <v>84</v>
      </c>
      <c r="B58" s="3" t="s">
        <v>259</v>
      </c>
    </row>
    <row r="59" spans="1:2" x14ac:dyDescent="0.2">
      <c r="A59" s="3" t="s">
        <v>161</v>
      </c>
      <c r="B59" s="3" t="s">
        <v>260</v>
      </c>
    </row>
    <row r="60" spans="1:2" x14ac:dyDescent="0.2">
      <c r="A60" s="4" t="s">
        <v>74</v>
      </c>
      <c r="B60" s="3" t="s">
        <v>162</v>
      </c>
    </row>
    <row r="61" spans="1:2" x14ac:dyDescent="0.2">
      <c r="A61" s="2" t="s">
        <v>80</v>
      </c>
      <c r="B61" s="3" t="s">
        <v>224</v>
      </c>
    </row>
    <row r="62" spans="1:2" x14ac:dyDescent="0.2">
      <c r="A62" s="3" t="s">
        <v>170</v>
      </c>
      <c r="B62" s="3" t="s">
        <v>262</v>
      </c>
    </row>
    <row r="63" spans="1:2" x14ac:dyDescent="0.2">
      <c r="A63" s="4" t="s">
        <v>107</v>
      </c>
      <c r="B63" s="3" t="s">
        <v>165</v>
      </c>
    </row>
    <row r="64" spans="1:2" x14ac:dyDescent="0.2">
      <c r="A64" s="3" t="s">
        <v>98</v>
      </c>
      <c r="B64" s="2" t="s">
        <v>183</v>
      </c>
    </row>
    <row r="65" spans="1:2" x14ac:dyDescent="0.2">
      <c r="A65" s="3" t="s">
        <v>39</v>
      </c>
      <c r="B65" s="2" t="s">
        <v>186</v>
      </c>
    </row>
    <row r="66" spans="1:2" x14ac:dyDescent="0.2">
      <c r="A66" s="3" t="s">
        <v>140</v>
      </c>
      <c r="B66" s="4" t="s">
        <v>59</v>
      </c>
    </row>
    <row r="67" spans="1:2" x14ac:dyDescent="0.2">
      <c r="A67" s="2" t="s">
        <v>299</v>
      </c>
      <c r="B67" s="4" t="s">
        <v>88</v>
      </c>
    </row>
    <row r="68" spans="1:2" x14ac:dyDescent="0.2">
      <c r="A68" s="3" t="s">
        <v>252</v>
      </c>
      <c r="B68" s="3" t="s">
        <v>198</v>
      </c>
    </row>
    <row r="69" spans="1:2" x14ac:dyDescent="0.2">
      <c r="A69" s="2" t="s">
        <v>288</v>
      </c>
      <c r="B69" s="2" t="s">
        <v>204</v>
      </c>
    </row>
    <row r="70" spans="1:2" x14ac:dyDescent="0.2">
      <c r="A70" s="4" t="s">
        <v>200</v>
      </c>
    </row>
    <row r="71" spans="1:2" x14ac:dyDescent="0.2">
      <c r="A71" s="2" t="s">
        <v>54</v>
      </c>
    </row>
    <row r="72" spans="1:2" x14ac:dyDescent="0.2">
      <c r="A72" s="4" t="s">
        <v>64</v>
      </c>
    </row>
    <row r="73" spans="1:2" x14ac:dyDescent="0.2">
      <c r="A73" s="3" t="s">
        <v>276</v>
      </c>
    </row>
  </sheetData>
  <sortState xmlns:xlrd2="http://schemas.microsoft.com/office/spreadsheetml/2017/richdata2" ref="A2:B73">
    <sortCondition ref="B2:B73"/>
  </sortState>
  <pageMargins left="0.7" right="0.7" top="0.75" bottom="0.75" header="0.3" footer="0.3"/>
  <pageSetup scale="5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E0DBB-C999-5A44-8548-4898BD2D14AB}">
  <dimension ref="A3:K27"/>
  <sheetViews>
    <sheetView tabSelected="1" topLeftCell="F1" zoomScaleNormal="100" workbookViewId="0">
      <selection activeCell="K24" sqref="K24"/>
    </sheetView>
  </sheetViews>
  <sheetFormatPr baseColWidth="10" defaultColWidth="11.5" defaultRowHeight="15" x14ac:dyDescent="0.2"/>
  <cols>
    <col min="1" max="1" width="15.33203125" customWidth="1"/>
    <col min="6" max="6" width="111.1640625" bestFit="1" customWidth="1"/>
  </cols>
  <sheetData>
    <row r="3" spans="2:11" x14ac:dyDescent="0.2">
      <c r="C3" s="5" t="s">
        <v>310</v>
      </c>
      <c r="D3" s="5" t="s">
        <v>311</v>
      </c>
      <c r="E3" s="5" t="s">
        <v>312</v>
      </c>
      <c r="G3" s="10" t="s">
        <v>313</v>
      </c>
      <c r="H3" s="10" t="s">
        <v>314</v>
      </c>
      <c r="I3" s="10" t="s">
        <v>315</v>
      </c>
      <c r="J3" s="10" t="s">
        <v>316</v>
      </c>
      <c r="K3" s="22" t="s">
        <v>400</v>
      </c>
    </row>
    <row r="4" spans="2:11" x14ac:dyDescent="0.2">
      <c r="B4">
        <v>1</v>
      </c>
      <c r="C4" s="6">
        <v>500</v>
      </c>
      <c r="D4" s="6">
        <v>200</v>
      </c>
      <c r="E4" s="8">
        <v>300</v>
      </c>
      <c r="F4" t="s">
        <v>317</v>
      </c>
      <c r="G4">
        <v>200</v>
      </c>
      <c r="H4" s="14">
        <v>300</v>
      </c>
      <c r="I4">
        <v>500</v>
      </c>
      <c r="J4">
        <v>700</v>
      </c>
      <c r="K4">
        <v>300</v>
      </c>
    </row>
    <row r="5" spans="2:11" x14ac:dyDescent="0.2">
      <c r="B5">
        <v>2</v>
      </c>
      <c r="C5" s="8">
        <v>1500</v>
      </c>
      <c r="D5" s="6">
        <v>1000</v>
      </c>
      <c r="E5" s="6">
        <v>500</v>
      </c>
      <c r="F5" t="s">
        <v>318</v>
      </c>
      <c r="G5">
        <v>500</v>
      </c>
      <c r="H5" s="15">
        <v>1000</v>
      </c>
      <c r="I5" s="16">
        <v>1500</v>
      </c>
      <c r="J5" s="15">
        <v>2000</v>
      </c>
      <c r="K5">
        <v>1500</v>
      </c>
    </row>
    <row r="6" spans="2:11" x14ac:dyDescent="0.2">
      <c r="B6">
        <v>3</v>
      </c>
      <c r="C6" s="6">
        <v>900</v>
      </c>
      <c r="D6" s="8">
        <v>500</v>
      </c>
      <c r="E6" s="6">
        <v>400</v>
      </c>
      <c r="F6" t="s">
        <v>319</v>
      </c>
      <c r="G6">
        <v>400</v>
      </c>
      <c r="H6" s="14">
        <v>500</v>
      </c>
      <c r="I6">
        <v>900</v>
      </c>
      <c r="J6">
        <v>1300</v>
      </c>
      <c r="K6">
        <v>500</v>
      </c>
    </row>
    <row r="7" spans="2:11" x14ac:dyDescent="0.2">
      <c r="B7">
        <v>4</v>
      </c>
      <c r="C7" s="6">
        <v>1200</v>
      </c>
      <c r="D7" s="6">
        <v>700</v>
      </c>
      <c r="E7" s="8">
        <v>500</v>
      </c>
      <c r="F7" t="s">
        <v>320</v>
      </c>
      <c r="G7" s="14">
        <v>500</v>
      </c>
      <c r="H7">
        <v>800</v>
      </c>
      <c r="I7" s="15">
        <v>1200</v>
      </c>
      <c r="J7" s="15">
        <v>1900</v>
      </c>
      <c r="K7">
        <v>500</v>
      </c>
    </row>
    <row r="8" spans="2:11" x14ac:dyDescent="0.2">
      <c r="B8">
        <v>5</v>
      </c>
      <c r="C8" s="6">
        <v>750</v>
      </c>
      <c r="D8" s="6">
        <v>250</v>
      </c>
      <c r="E8" s="8">
        <v>500</v>
      </c>
      <c r="F8" t="s">
        <v>321</v>
      </c>
      <c r="G8">
        <v>250</v>
      </c>
      <c r="H8" s="14">
        <v>500</v>
      </c>
      <c r="I8">
        <v>750</v>
      </c>
      <c r="J8" s="15">
        <v>1000</v>
      </c>
      <c r="K8">
        <v>500</v>
      </c>
    </row>
    <row r="9" spans="2:11" x14ac:dyDescent="0.2">
      <c r="B9">
        <v>6</v>
      </c>
      <c r="C9" s="6">
        <v>1800</v>
      </c>
      <c r="D9" s="6">
        <v>1200</v>
      </c>
      <c r="E9" s="8">
        <v>600</v>
      </c>
      <c r="F9" t="s">
        <v>322</v>
      </c>
      <c r="G9" s="14">
        <v>600</v>
      </c>
      <c r="H9" s="15">
        <v>1200</v>
      </c>
      <c r="I9" s="15">
        <v>1800</v>
      </c>
      <c r="J9" s="15">
        <v>3000</v>
      </c>
      <c r="K9" s="23">
        <v>600</v>
      </c>
    </row>
    <row r="10" spans="2:11" x14ac:dyDescent="0.2">
      <c r="B10">
        <v>7</v>
      </c>
      <c r="C10" s="6">
        <v>1000</v>
      </c>
      <c r="D10" s="8">
        <v>400</v>
      </c>
      <c r="E10" s="6">
        <v>600</v>
      </c>
      <c r="F10" t="s">
        <v>323</v>
      </c>
      <c r="G10" s="14">
        <v>400</v>
      </c>
      <c r="H10">
        <v>600</v>
      </c>
      <c r="I10" s="15">
        <v>1000</v>
      </c>
      <c r="J10" s="15">
        <v>1600</v>
      </c>
      <c r="K10">
        <v>400</v>
      </c>
    </row>
    <row r="11" spans="2:11" x14ac:dyDescent="0.2">
      <c r="B11">
        <v>8</v>
      </c>
      <c r="C11" s="6">
        <v>2200</v>
      </c>
      <c r="D11" s="6">
        <v>800</v>
      </c>
      <c r="E11" s="8">
        <v>1400</v>
      </c>
      <c r="F11" t="s">
        <v>324</v>
      </c>
      <c r="G11">
        <v>800</v>
      </c>
      <c r="H11" s="16">
        <v>1400</v>
      </c>
      <c r="I11" s="15">
        <v>2200</v>
      </c>
      <c r="J11" s="15">
        <v>3000</v>
      </c>
      <c r="K11">
        <v>1400</v>
      </c>
    </row>
    <row r="12" spans="2:11" x14ac:dyDescent="0.2">
      <c r="B12">
        <v>9</v>
      </c>
      <c r="C12" s="6">
        <v>1600</v>
      </c>
      <c r="D12" s="6">
        <v>1100</v>
      </c>
      <c r="E12" s="8">
        <v>500</v>
      </c>
      <c r="F12" t="s">
        <v>325</v>
      </c>
      <c r="G12" s="14">
        <v>500</v>
      </c>
      <c r="H12" s="15">
        <v>1100</v>
      </c>
      <c r="I12" s="15">
        <v>1600</v>
      </c>
      <c r="J12" s="15">
        <v>2700</v>
      </c>
      <c r="K12" s="23">
        <v>500</v>
      </c>
    </row>
    <row r="13" spans="2:11" x14ac:dyDescent="0.2">
      <c r="B13">
        <v>10</v>
      </c>
      <c r="C13" s="8">
        <v>1300</v>
      </c>
      <c r="D13" s="6">
        <v>300</v>
      </c>
      <c r="E13" s="6">
        <v>1000</v>
      </c>
      <c r="F13" t="s">
        <v>326</v>
      </c>
      <c r="G13">
        <v>300</v>
      </c>
      <c r="H13">
        <v>700</v>
      </c>
      <c r="I13" s="15">
        <v>1000</v>
      </c>
      <c r="J13" s="16">
        <v>1300</v>
      </c>
      <c r="K13">
        <v>1300</v>
      </c>
    </row>
    <row r="14" spans="2:11" x14ac:dyDescent="0.2">
      <c r="B14">
        <v>11</v>
      </c>
      <c r="C14" s="6">
        <v>600</v>
      </c>
      <c r="D14" s="8">
        <v>100</v>
      </c>
      <c r="E14" s="6">
        <v>500</v>
      </c>
      <c r="F14" t="s">
        <v>327</v>
      </c>
      <c r="G14" s="14">
        <v>100</v>
      </c>
      <c r="H14">
        <v>500</v>
      </c>
      <c r="I14">
        <v>600</v>
      </c>
      <c r="J14" s="15">
        <v>1100</v>
      </c>
      <c r="K14">
        <v>100</v>
      </c>
    </row>
    <row r="15" spans="2:11" x14ac:dyDescent="0.2">
      <c r="B15">
        <v>12</v>
      </c>
      <c r="C15" s="6">
        <v>2000</v>
      </c>
      <c r="D15" s="6">
        <v>1500</v>
      </c>
      <c r="E15" s="8">
        <v>500</v>
      </c>
      <c r="F15" t="s">
        <v>328</v>
      </c>
      <c r="G15" s="14">
        <v>500</v>
      </c>
      <c r="H15" s="15">
        <v>1500</v>
      </c>
      <c r="I15" s="15">
        <v>2000</v>
      </c>
      <c r="J15" s="15">
        <v>3500</v>
      </c>
      <c r="K15" s="23">
        <v>500</v>
      </c>
    </row>
    <row r="16" spans="2:11" x14ac:dyDescent="0.2">
      <c r="B16">
        <v>13</v>
      </c>
      <c r="C16" s="6">
        <v>1700</v>
      </c>
      <c r="D16" s="8">
        <v>800</v>
      </c>
      <c r="E16" s="6">
        <v>900</v>
      </c>
      <c r="F16" t="s">
        <v>329</v>
      </c>
      <c r="G16" s="14">
        <v>800</v>
      </c>
      <c r="H16">
        <v>900</v>
      </c>
      <c r="I16" s="15">
        <v>1700</v>
      </c>
      <c r="J16" s="15">
        <v>2600</v>
      </c>
      <c r="K16">
        <v>800</v>
      </c>
    </row>
    <row r="17" spans="1:11" x14ac:dyDescent="0.2">
      <c r="B17">
        <v>14</v>
      </c>
      <c r="C17" s="7">
        <v>1400</v>
      </c>
      <c r="D17" s="6">
        <v>600</v>
      </c>
      <c r="E17" s="8">
        <v>800</v>
      </c>
      <c r="F17" t="s">
        <v>330</v>
      </c>
      <c r="G17">
        <v>600</v>
      </c>
      <c r="H17" s="14">
        <v>800</v>
      </c>
      <c r="I17" s="15">
        <v>1400</v>
      </c>
      <c r="J17" s="15">
        <v>2000</v>
      </c>
      <c r="K17">
        <v>800</v>
      </c>
    </row>
    <row r="18" spans="1:11" x14ac:dyDescent="0.2">
      <c r="B18">
        <v>15</v>
      </c>
      <c r="C18" s="7">
        <v>2500</v>
      </c>
      <c r="D18" s="7">
        <v>1000</v>
      </c>
      <c r="E18" s="9">
        <v>1500</v>
      </c>
      <c r="F18" t="s">
        <v>331</v>
      </c>
      <c r="G18" s="15">
        <v>1000</v>
      </c>
      <c r="H18" s="16">
        <v>1500</v>
      </c>
      <c r="I18" s="15">
        <v>2500</v>
      </c>
      <c r="J18" s="15">
        <v>3500</v>
      </c>
      <c r="K18" s="23">
        <v>1500</v>
      </c>
    </row>
    <row r="19" spans="1:11" x14ac:dyDescent="0.2">
      <c r="B19">
        <v>16</v>
      </c>
      <c r="C19" s="7">
        <v>1500</v>
      </c>
      <c r="D19" s="7">
        <v>900</v>
      </c>
      <c r="E19" s="9">
        <v>600</v>
      </c>
      <c r="F19" t="s">
        <v>332</v>
      </c>
      <c r="G19" s="14">
        <v>600</v>
      </c>
      <c r="H19">
        <v>900</v>
      </c>
      <c r="I19" s="15">
        <v>1500</v>
      </c>
      <c r="J19" s="15">
        <v>2400</v>
      </c>
      <c r="K19">
        <v>600</v>
      </c>
    </row>
    <row r="20" spans="1:11" x14ac:dyDescent="0.2">
      <c r="B20">
        <v>17</v>
      </c>
      <c r="C20" s="9">
        <v>4000</v>
      </c>
      <c r="D20" s="7">
        <v>2000</v>
      </c>
      <c r="E20" s="7">
        <v>2000</v>
      </c>
      <c r="F20" t="s">
        <v>333</v>
      </c>
      <c r="G20">
        <v>500</v>
      </c>
      <c r="H20" s="15">
        <v>1000</v>
      </c>
      <c r="I20" s="15">
        <v>2000</v>
      </c>
      <c r="J20" s="16">
        <v>4000</v>
      </c>
      <c r="K20">
        <v>4000</v>
      </c>
    </row>
    <row r="21" spans="1:11" x14ac:dyDescent="0.2">
      <c r="B21">
        <v>18</v>
      </c>
      <c r="C21" s="7">
        <v>1000</v>
      </c>
      <c r="D21" s="7">
        <v>500</v>
      </c>
      <c r="E21" s="9">
        <v>500</v>
      </c>
      <c r="F21" t="s">
        <v>334</v>
      </c>
      <c r="G21" s="12">
        <v>250</v>
      </c>
      <c r="H21" s="13">
        <v>500</v>
      </c>
      <c r="I21" s="12">
        <v>1000</v>
      </c>
      <c r="J21" s="12">
        <v>1500</v>
      </c>
      <c r="K21" s="24">
        <v>500</v>
      </c>
    </row>
    <row r="22" spans="1:11" x14ac:dyDescent="0.2">
      <c r="B22">
        <v>19</v>
      </c>
      <c r="C22" s="9">
        <v>4000</v>
      </c>
      <c r="D22" s="7">
        <v>1500</v>
      </c>
      <c r="E22" s="7">
        <v>2500</v>
      </c>
      <c r="F22" t="s">
        <v>335</v>
      </c>
      <c r="G22" s="15">
        <v>1000</v>
      </c>
      <c r="H22" s="15">
        <v>1500</v>
      </c>
      <c r="I22" s="15">
        <v>2500</v>
      </c>
      <c r="J22" s="16">
        <v>4000</v>
      </c>
      <c r="K22" s="23">
        <v>4000</v>
      </c>
    </row>
    <row r="23" spans="1:11" x14ac:dyDescent="0.2">
      <c r="B23">
        <v>20</v>
      </c>
      <c r="C23" s="7">
        <v>1500</v>
      </c>
      <c r="D23" s="9">
        <v>1250</v>
      </c>
      <c r="E23" s="7">
        <v>250</v>
      </c>
      <c r="F23" t="s">
        <v>336</v>
      </c>
      <c r="G23">
        <v>250</v>
      </c>
      <c r="H23" s="16">
        <v>1250</v>
      </c>
      <c r="I23" s="15">
        <v>1500</v>
      </c>
      <c r="J23" s="15">
        <v>1750</v>
      </c>
      <c r="K23">
        <v>1250</v>
      </c>
    </row>
    <row r="26" spans="1:11" x14ac:dyDescent="0.2">
      <c r="A26" t="s">
        <v>337</v>
      </c>
      <c r="B26" s="11" t="s">
        <v>338</v>
      </c>
      <c r="C26">
        <v>200</v>
      </c>
      <c r="D26" s="11" t="s">
        <v>339</v>
      </c>
      <c r="E26">
        <v>500</v>
      </c>
    </row>
    <row r="27" spans="1:11" x14ac:dyDescent="0.2">
      <c r="B27" s="11" t="s">
        <v>340</v>
      </c>
      <c r="C27">
        <v>300</v>
      </c>
      <c r="D27" s="11" t="s">
        <v>341</v>
      </c>
      <c r="E27">
        <v>700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674F0-791E-8B43-805E-7A46EA7231CA}">
  <dimension ref="B2:J23"/>
  <sheetViews>
    <sheetView zoomScaleNormal="100" workbookViewId="0">
      <selection activeCell="I24" sqref="I24"/>
    </sheetView>
  </sheetViews>
  <sheetFormatPr baseColWidth="10" defaultColWidth="11.5" defaultRowHeight="15" x14ac:dyDescent="0.2"/>
  <cols>
    <col min="2" max="2" width="12.5" bestFit="1" customWidth="1"/>
    <col min="7" max="7" width="119" bestFit="1" customWidth="1"/>
    <col min="9" max="9" width="18.33203125" customWidth="1"/>
  </cols>
  <sheetData>
    <row r="2" spans="2:10" x14ac:dyDescent="0.2">
      <c r="C2" s="21" t="s">
        <v>342</v>
      </c>
      <c r="D2" s="21"/>
      <c r="E2" s="21"/>
      <c r="F2" s="21"/>
    </row>
    <row r="3" spans="2:10" x14ac:dyDescent="0.2">
      <c r="B3" s="18" t="s">
        <v>343</v>
      </c>
      <c r="C3" s="19" t="s">
        <v>310</v>
      </c>
      <c r="D3" s="6" t="s">
        <v>311</v>
      </c>
      <c r="E3" s="6" t="s">
        <v>312</v>
      </c>
      <c r="F3" s="6" t="s">
        <v>344</v>
      </c>
      <c r="G3" s="6" t="s">
        <v>345</v>
      </c>
      <c r="I3" t="s">
        <v>346</v>
      </c>
      <c r="J3" t="s">
        <v>347</v>
      </c>
    </row>
    <row r="4" spans="2:10" x14ac:dyDescent="0.2">
      <c r="B4" s="20">
        <v>1</v>
      </c>
      <c r="C4" s="6" t="s">
        <v>348</v>
      </c>
      <c r="D4" s="6"/>
      <c r="E4" s="6" t="s">
        <v>348</v>
      </c>
      <c r="F4" s="6" t="s">
        <v>348</v>
      </c>
      <c r="G4" s="6" t="s">
        <v>349</v>
      </c>
      <c r="I4" t="s">
        <v>350</v>
      </c>
    </row>
    <row r="5" spans="2:10" x14ac:dyDescent="0.2">
      <c r="B5" s="6">
        <v>2</v>
      </c>
      <c r="C5" s="6" t="s">
        <v>348</v>
      </c>
      <c r="D5" s="6" t="s">
        <v>348</v>
      </c>
      <c r="E5" s="6"/>
      <c r="F5" s="6"/>
      <c r="G5" s="6" t="s">
        <v>351</v>
      </c>
    </row>
    <row r="6" spans="2:10" x14ac:dyDescent="0.2">
      <c r="B6" s="6">
        <v>3</v>
      </c>
      <c r="C6" s="6" t="s">
        <v>348</v>
      </c>
      <c r="D6" s="6"/>
      <c r="E6" s="6" t="s">
        <v>348</v>
      </c>
      <c r="F6" s="6" t="s">
        <v>348</v>
      </c>
      <c r="G6" s="6" t="s">
        <v>352</v>
      </c>
    </row>
    <row r="7" spans="2:10" x14ac:dyDescent="0.2">
      <c r="B7" s="6">
        <v>4</v>
      </c>
      <c r="C7" s="6" t="s">
        <v>353</v>
      </c>
      <c r="D7" s="6"/>
      <c r="E7" s="6" t="s">
        <v>353</v>
      </c>
      <c r="F7" s="6"/>
      <c r="G7" s="6" t="s">
        <v>354</v>
      </c>
      <c r="I7" t="s">
        <v>355</v>
      </c>
      <c r="J7" t="s">
        <v>356</v>
      </c>
    </row>
    <row r="8" spans="2:10" x14ac:dyDescent="0.2">
      <c r="B8" s="6">
        <v>5</v>
      </c>
      <c r="C8" s="6" t="s">
        <v>353</v>
      </c>
      <c r="D8" s="6"/>
      <c r="E8" s="6" t="s">
        <v>353</v>
      </c>
      <c r="F8" s="6" t="s">
        <v>353</v>
      </c>
      <c r="G8" s="6" t="s">
        <v>357</v>
      </c>
      <c r="I8" s="17" t="s">
        <v>358</v>
      </c>
      <c r="J8" t="s">
        <v>359</v>
      </c>
    </row>
    <row r="9" spans="2:10" x14ac:dyDescent="0.2">
      <c r="B9" s="6">
        <v>6</v>
      </c>
      <c r="C9" s="6" t="s">
        <v>348</v>
      </c>
      <c r="D9" s="6"/>
      <c r="E9" s="6" t="s">
        <v>348</v>
      </c>
      <c r="F9" s="6" t="s">
        <v>348</v>
      </c>
      <c r="G9" s="6" t="s">
        <v>360</v>
      </c>
      <c r="I9" t="s">
        <v>361</v>
      </c>
    </row>
    <row r="10" spans="2:10" x14ac:dyDescent="0.2">
      <c r="B10" s="6">
        <v>7</v>
      </c>
      <c r="C10" s="6" t="s">
        <v>348</v>
      </c>
      <c r="D10" s="6" t="s">
        <v>348</v>
      </c>
      <c r="E10" s="6"/>
      <c r="F10" s="6"/>
      <c r="G10" s="6" t="s">
        <v>362</v>
      </c>
    </row>
    <row r="11" spans="2:10" x14ac:dyDescent="0.2">
      <c r="B11" s="6">
        <v>8</v>
      </c>
      <c r="C11" s="6" t="s">
        <v>353</v>
      </c>
      <c r="D11" s="6"/>
      <c r="E11" s="6" t="s">
        <v>353</v>
      </c>
      <c r="F11" s="6" t="s">
        <v>353</v>
      </c>
      <c r="G11" s="6" t="s">
        <v>363</v>
      </c>
    </row>
    <row r="12" spans="2:10" x14ac:dyDescent="0.2">
      <c r="B12" s="6">
        <v>9</v>
      </c>
      <c r="C12" s="6" t="s">
        <v>348</v>
      </c>
      <c r="D12" s="6" t="s">
        <v>348</v>
      </c>
      <c r="E12" s="6"/>
      <c r="F12" s="6"/>
      <c r="G12" s="6" t="s">
        <v>364</v>
      </c>
    </row>
    <row r="13" spans="2:10" x14ac:dyDescent="0.2">
      <c r="B13" s="6">
        <v>10</v>
      </c>
      <c r="C13" s="6" t="s">
        <v>348</v>
      </c>
      <c r="D13" s="6"/>
      <c r="E13" s="6" t="s">
        <v>348</v>
      </c>
      <c r="F13" s="6"/>
      <c r="G13" s="6" t="s">
        <v>365</v>
      </c>
    </row>
    <row r="14" spans="2:10" x14ac:dyDescent="0.2">
      <c r="B14" s="6">
        <v>11</v>
      </c>
      <c r="C14" s="6" t="s">
        <v>353</v>
      </c>
      <c r="D14" s="6" t="s">
        <v>353</v>
      </c>
      <c r="E14" s="6"/>
      <c r="F14" s="6"/>
      <c r="G14" s="6" t="s">
        <v>366</v>
      </c>
    </row>
    <row r="15" spans="2:10" x14ac:dyDescent="0.2">
      <c r="B15" s="6">
        <v>12</v>
      </c>
      <c r="C15" s="6" t="s">
        <v>348</v>
      </c>
      <c r="D15" s="6" t="s">
        <v>348</v>
      </c>
      <c r="E15" s="6"/>
      <c r="F15" s="6"/>
      <c r="G15" s="6" t="s">
        <v>367</v>
      </c>
    </row>
    <row r="16" spans="2:10" x14ac:dyDescent="0.2">
      <c r="B16" s="6">
        <v>13</v>
      </c>
      <c r="C16" s="6" t="s">
        <v>353</v>
      </c>
      <c r="D16" s="6"/>
      <c r="E16" s="6" t="s">
        <v>353</v>
      </c>
      <c r="F16" s="6" t="s">
        <v>353</v>
      </c>
      <c r="G16" s="6" t="s">
        <v>368</v>
      </c>
    </row>
    <row r="17" spans="2:7" x14ac:dyDescent="0.2">
      <c r="B17" s="6">
        <v>14</v>
      </c>
      <c r="C17" s="6"/>
      <c r="D17" s="6" t="s">
        <v>348</v>
      </c>
      <c r="E17" s="6" t="s">
        <v>353</v>
      </c>
      <c r="F17" s="6" t="s">
        <v>353</v>
      </c>
      <c r="G17" s="6" t="s">
        <v>369</v>
      </c>
    </row>
    <row r="18" spans="2:7" x14ac:dyDescent="0.2">
      <c r="B18" s="6">
        <v>15</v>
      </c>
      <c r="C18" s="6" t="s">
        <v>353</v>
      </c>
      <c r="D18" s="6"/>
      <c r="E18" s="6" t="s">
        <v>353</v>
      </c>
      <c r="F18" s="6" t="s">
        <v>353</v>
      </c>
      <c r="G18" s="6" t="s">
        <v>370</v>
      </c>
    </row>
    <row r="19" spans="2:7" x14ac:dyDescent="0.2">
      <c r="B19" s="6">
        <v>16</v>
      </c>
      <c r="C19" s="6" t="s">
        <v>353</v>
      </c>
      <c r="D19" s="6"/>
      <c r="E19" s="6" t="s">
        <v>348</v>
      </c>
      <c r="F19" s="6" t="s">
        <v>348</v>
      </c>
      <c r="G19" s="6" t="s">
        <v>371</v>
      </c>
    </row>
    <row r="20" spans="2:7" x14ac:dyDescent="0.2">
      <c r="B20" s="6">
        <v>17</v>
      </c>
      <c r="C20" s="6" t="s">
        <v>348</v>
      </c>
      <c r="D20" s="6"/>
      <c r="E20" s="6" t="s">
        <v>348</v>
      </c>
      <c r="F20" s="6" t="s">
        <v>348</v>
      </c>
      <c r="G20" s="6" t="s">
        <v>372</v>
      </c>
    </row>
    <row r="21" spans="2:7" x14ac:dyDescent="0.2">
      <c r="B21" s="6">
        <v>18</v>
      </c>
      <c r="C21" s="6" t="s">
        <v>353</v>
      </c>
      <c r="D21" s="6"/>
      <c r="E21" s="6" t="s">
        <v>353</v>
      </c>
      <c r="F21" s="6" t="s">
        <v>353</v>
      </c>
      <c r="G21" s="6" t="s">
        <v>373</v>
      </c>
    </row>
    <row r="22" spans="2:7" x14ac:dyDescent="0.2">
      <c r="B22" s="6">
        <v>19</v>
      </c>
      <c r="C22" s="6"/>
      <c r="D22" s="6"/>
      <c r="E22" s="6"/>
      <c r="F22" s="6"/>
      <c r="G22" s="6" t="s">
        <v>374</v>
      </c>
    </row>
    <row r="23" spans="2:7" x14ac:dyDescent="0.2">
      <c r="B23" s="6">
        <v>20</v>
      </c>
      <c r="C23" s="6" t="s">
        <v>348</v>
      </c>
      <c r="D23" s="6" t="s">
        <v>348</v>
      </c>
      <c r="E23" s="6"/>
      <c r="F23" s="6"/>
      <c r="G23" s="6" t="s">
        <v>399</v>
      </c>
    </row>
  </sheetData>
  <mergeCells count="1">
    <mergeCell ref="C2:F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C79E7-2766-A64A-8DC8-E055CFAB5B32}">
  <dimension ref="B2:G23"/>
  <sheetViews>
    <sheetView zoomScale="90" zoomScaleNormal="90" workbookViewId="0">
      <selection activeCell="F22" sqref="F22"/>
    </sheetView>
  </sheetViews>
  <sheetFormatPr baseColWidth="10" defaultColWidth="11.5" defaultRowHeight="15" x14ac:dyDescent="0.2"/>
  <cols>
    <col min="2" max="2" width="12.5" bestFit="1" customWidth="1"/>
    <col min="7" max="7" width="150.5" bestFit="1" customWidth="1"/>
  </cols>
  <sheetData>
    <row r="2" spans="2:7" x14ac:dyDescent="0.2">
      <c r="C2" s="21" t="s">
        <v>342</v>
      </c>
      <c r="D2" s="21"/>
      <c r="E2" s="21"/>
      <c r="F2" s="21"/>
    </row>
    <row r="3" spans="2:7" x14ac:dyDescent="0.2">
      <c r="B3" s="6" t="s">
        <v>343</v>
      </c>
      <c r="C3" s="6" t="s">
        <v>310</v>
      </c>
      <c r="D3" s="6" t="s">
        <v>311</v>
      </c>
      <c r="E3" s="6" t="s">
        <v>312</v>
      </c>
      <c r="F3" s="6" t="s">
        <v>344</v>
      </c>
      <c r="G3" s="6" t="s">
        <v>375</v>
      </c>
    </row>
    <row r="4" spans="2:7" x14ac:dyDescent="0.2">
      <c r="B4" s="6">
        <v>1</v>
      </c>
      <c r="C4" s="6" t="s">
        <v>376</v>
      </c>
      <c r="D4" s="6" t="s">
        <v>377</v>
      </c>
      <c r="E4" s="6" t="s">
        <v>376</v>
      </c>
      <c r="F4" s="6" t="s">
        <v>376</v>
      </c>
      <c r="G4" s="6" t="s">
        <v>378</v>
      </c>
    </row>
    <row r="5" spans="2:7" x14ac:dyDescent="0.2">
      <c r="B5" s="6">
        <v>2</v>
      </c>
      <c r="C5" s="6" t="s">
        <v>379</v>
      </c>
      <c r="D5" s="6" t="s">
        <v>379</v>
      </c>
      <c r="E5" s="6" t="s">
        <v>377</v>
      </c>
      <c r="F5" s="6" t="s">
        <v>377</v>
      </c>
      <c r="G5" s="6" t="s">
        <v>380</v>
      </c>
    </row>
    <row r="6" spans="2:7" x14ac:dyDescent="0.2">
      <c r="B6" s="6">
        <v>3</v>
      </c>
      <c r="C6" s="6" t="s">
        <v>377</v>
      </c>
      <c r="D6" s="6" t="s">
        <v>377</v>
      </c>
      <c r="E6" s="6" t="s">
        <v>377</v>
      </c>
      <c r="F6" s="6" t="s">
        <v>377</v>
      </c>
      <c r="G6" s="6" t="s">
        <v>381</v>
      </c>
    </row>
    <row r="7" spans="2:7" x14ac:dyDescent="0.2">
      <c r="B7" s="6">
        <v>4</v>
      </c>
      <c r="C7" s="6" t="s">
        <v>376</v>
      </c>
      <c r="D7" s="6" t="s">
        <v>377</v>
      </c>
      <c r="E7" s="6" t="s">
        <v>376</v>
      </c>
      <c r="F7" s="6" t="s">
        <v>376</v>
      </c>
      <c r="G7" s="6" t="s">
        <v>382</v>
      </c>
    </row>
    <row r="8" spans="2:7" x14ac:dyDescent="0.2">
      <c r="B8" s="6">
        <v>5</v>
      </c>
      <c r="C8" s="6" t="s">
        <v>379</v>
      </c>
      <c r="D8" s="6" t="s">
        <v>377</v>
      </c>
      <c r="E8" s="6" t="s">
        <v>379</v>
      </c>
      <c r="F8" s="6" t="s">
        <v>379</v>
      </c>
      <c r="G8" s="6" t="s">
        <v>383</v>
      </c>
    </row>
    <row r="9" spans="2:7" x14ac:dyDescent="0.2">
      <c r="B9" s="6">
        <v>6</v>
      </c>
      <c r="C9" s="6" t="s">
        <v>376</v>
      </c>
      <c r="D9" s="6" t="s">
        <v>377</v>
      </c>
      <c r="E9" s="6" t="s">
        <v>376</v>
      </c>
      <c r="F9" s="6" t="s">
        <v>376</v>
      </c>
      <c r="G9" s="6" t="s">
        <v>384</v>
      </c>
    </row>
    <row r="10" spans="2:7" x14ac:dyDescent="0.2">
      <c r="B10" s="6">
        <v>7</v>
      </c>
      <c r="C10" s="6" t="s">
        <v>377</v>
      </c>
      <c r="D10" s="6" t="s">
        <v>379</v>
      </c>
      <c r="E10" s="6" t="s">
        <v>376</v>
      </c>
      <c r="F10" s="6" t="s">
        <v>376</v>
      </c>
      <c r="G10" s="6" t="s">
        <v>385</v>
      </c>
    </row>
    <row r="11" spans="2:7" x14ac:dyDescent="0.2">
      <c r="B11" s="6">
        <v>8</v>
      </c>
      <c r="C11" s="6" t="s">
        <v>379</v>
      </c>
      <c r="D11" s="6" t="s">
        <v>377</v>
      </c>
      <c r="E11" s="6" t="s">
        <v>379</v>
      </c>
      <c r="F11" s="6" t="s">
        <v>377</v>
      </c>
      <c r="G11" s="6" t="s">
        <v>386</v>
      </c>
    </row>
    <row r="12" spans="2:7" x14ac:dyDescent="0.2">
      <c r="B12" s="6">
        <v>9</v>
      </c>
      <c r="C12" s="6" t="s">
        <v>377</v>
      </c>
      <c r="D12" s="6" t="s">
        <v>379</v>
      </c>
      <c r="E12" s="6" t="s">
        <v>379</v>
      </c>
      <c r="F12" s="6" t="s">
        <v>379</v>
      </c>
      <c r="G12" s="6" t="s">
        <v>387</v>
      </c>
    </row>
    <row r="13" spans="2:7" x14ac:dyDescent="0.2">
      <c r="B13" s="6">
        <v>10</v>
      </c>
      <c r="C13" s="6" t="s">
        <v>376</v>
      </c>
      <c r="D13" s="6" t="s">
        <v>376</v>
      </c>
      <c r="E13" s="6" t="s">
        <v>377</v>
      </c>
      <c r="F13" s="6" t="s">
        <v>377</v>
      </c>
      <c r="G13" s="6" t="s">
        <v>388</v>
      </c>
    </row>
    <row r="14" spans="2:7" x14ac:dyDescent="0.2">
      <c r="B14" s="6">
        <v>11</v>
      </c>
      <c r="C14" s="6" t="s">
        <v>379</v>
      </c>
      <c r="D14" s="6" t="s">
        <v>379</v>
      </c>
      <c r="E14" s="6" t="s">
        <v>377</v>
      </c>
      <c r="F14" s="6" t="s">
        <v>377</v>
      </c>
      <c r="G14" s="6" t="s">
        <v>389</v>
      </c>
    </row>
    <row r="15" spans="2:7" x14ac:dyDescent="0.2">
      <c r="B15" s="6">
        <v>12</v>
      </c>
      <c r="C15" s="6" t="s">
        <v>376</v>
      </c>
      <c r="D15" s="6" t="s">
        <v>377</v>
      </c>
      <c r="E15" s="6" t="s">
        <v>379</v>
      </c>
      <c r="F15" s="6" t="s">
        <v>379</v>
      </c>
      <c r="G15" s="6" t="s">
        <v>390</v>
      </c>
    </row>
    <row r="16" spans="2:7" x14ac:dyDescent="0.2">
      <c r="B16" s="6">
        <v>13</v>
      </c>
      <c r="C16" s="6" t="s">
        <v>377</v>
      </c>
      <c r="D16" s="6" t="s">
        <v>377</v>
      </c>
      <c r="E16" s="6" t="s">
        <v>377</v>
      </c>
      <c r="F16" s="6" t="s">
        <v>377</v>
      </c>
      <c r="G16" s="6" t="s">
        <v>391</v>
      </c>
    </row>
    <row r="17" spans="2:7" x14ac:dyDescent="0.2">
      <c r="B17" s="6">
        <v>14</v>
      </c>
      <c r="C17" s="6" t="s">
        <v>377</v>
      </c>
      <c r="D17" s="6" t="s">
        <v>379</v>
      </c>
      <c r="E17" s="6" t="s">
        <v>376</v>
      </c>
      <c r="F17" s="6" t="s">
        <v>376</v>
      </c>
      <c r="G17" s="6" t="s">
        <v>392</v>
      </c>
    </row>
    <row r="18" spans="2:7" x14ac:dyDescent="0.2">
      <c r="B18" s="6">
        <v>15</v>
      </c>
      <c r="C18" s="6" t="s">
        <v>376</v>
      </c>
      <c r="D18" s="6" t="s">
        <v>377</v>
      </c>
      <c r="E18" s="6" t="s">
        <v>379</v>
      </c>
      <c r="F18" s="6" t="s">
        <v>379</v>
      </c>
      <c r="G18" s="6" t="s">
        <v>393</v>
      </c>
    </row>
    <row r="19" spans="2:7" x14ac:dyDescent="0.2">
      <c r="B19" s="6">
        <v>16</v>
      </c>
      <c r="C19" s="6" t="s">
        <v>379</v>
      </c>
      <c r="D19" s="6" t="s">
        <v>379</v>
      </c>
      <c r="E19" s="6" t="s">
        <v>377</v>
      </c>
      <c r="F19" s="6" t="s">
        <v>377</v>
      </c>
      <c r="G19" s="6" t="s">
        <v>394</v>
      </c>
    </row>
    <row r="20" spans="2:7" x14ac:dyDescent="0.2">
      <c r="B20" s="6">
        <v>17</v>
      </c>
      <c r="C20" s="6" t="s">
        <v>376</v>
      </c>
      <c r="D20" s="6" t="s">
        <v>377</v>
      </c>
      <c r="E20" s="6" t="s">
        <v>376</v>
      </c>
      <c r="F20" s="6" t="s">
        <v>376</v>
      </c>
      <c r="G20" s="6" t="s">
        <v>395</v>
      </c>
    </row>
    <row r="21" spans="2:7" x14ac:dyDescent="0.2">
      <c r="B21" s="6">
        <v>18</v>
      </c>
      <c r="C21" s="6" t="s">
        <v>377</v>
      </c>
      <c r="D21" s="6" t="s">
        <v>379</v>
      </c>
      <c r="E21" s="6" t="s">
        <v>376</v>
      </c>
      <c r="F21" s="6" t="s">
        <v>376</v>
      </c>
      <c r="G21" s="6" t="s">
        <v>396</v>
      </c>
    </row>
    <row r="22" spans="2:7" x14ac:dyDescent="0.2">
      <c r="B22" s="6">
        <v>19</v>
      </c>
      <c r="C22" s="6" t="s">
        <v>379</v>
      </c>
      <c r="D22" s="6" t="s">
        <v>377</v>
      </c>
      <c r="E22" s="6" t="s">
        <v>379</v>
      </c>
      <c r="F22" s="6" t="s">
        <v>379</v>
      </c>
      <c r="G22" s="6" t="s">
        <v>397</v>
      </c>
    </row>
    <row r="23" spans="2:7" x14ac:dyDescent="0.2">
      <c r="B23" s="6">
        <v>20</v>
      </c>
      <c r="C23" s="6" t="s">
        <v>376</v>
      </c>
      <c r="D23" s="6" t="s">
        <v>377</v>
      </c>
      <c r="E23" s="6" t="s">
        <v>376</v>
      </c>
      <c r="F23" s="6" t="s">
        <v>376</v>
      </c>
      <c r="G23" s="6" t="s">
        <v>398</v>
      </c>
    </row>
  </sheetData>
  <mergeCells count="1">
    <mergeCell ref="C2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A8A71A87AA11429A024FE38DBCFB28" ma:contentTypeVersion="13" ma:contentTypeDescription="Create a new document." ma:contentTypeScope="" ma:versionID="b45171dc56d0661eeeb51bc3d30179e3">
  <xsd:schema xmlns:xsd="http://www.w3.org/2001/XMLSchema" xmlns:xs="http://www.w3.org/2001/XMLSchema" xmlns:p="http://schemas.microsoft.com/office/2006/metadata/properties" xmlns:ns3="47b4e388-7a75-40af-8b04-42818f2fdb9b" xmlns:ns4="c997e9c3-07ef-4103-ac9e-c49d1d746bce" targetNamespace="http://schemas.microsoft.com/office/2006/metadata/properties" ma:root="true" ma:fieldsID="71589af1c2ed18426e960dc22356cc2f" ns3:_="" ns4:_="">
    <xsd:import namespace="47b4e388-7a75-40af-8b04-42818f2fdb9b"/>
    <xsd:import namespace="c997e9c3-07ef-4103-ac9e-c49d1d746b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b4e388-7a75-40af-8b04-42818f2fdb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7e9c3-07ef-4103-ac9e-c49d1d746bce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7b4e388-7a75-40af-8b04-42818f2fdb9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3D524E-4D0B-4E73-9423-303FE9996A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b4e388-7a75-40af-8b04-42818f2fdb9b"/>
    <ds:schemaRef ds:uri="c997e9c3-07ef-4103-ac9e-c49d1d746b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253D14-554A-4916-839F-E7F866211CA3}">
  <ds:schemaRefs>
    <ds:schemaRef ds:uri="http://purl.org/dc/dcmitype/"/>
    <ds:schemaRef ds:uri="http://www.w3.org/XML/1998/namespace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c997e9c3-07ef-4103-ac9e-c49d1d746bce"/>
    <ds:schemaRef ds:uri="47b4e388-7a75-40af-8b04-42818f2fdb9b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548443D-DC83-441E-A117-A889C06CA29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8</vt:i4>
      </vt:variant>
    </vt:vector>
  </HeadingPairs>
  <TitlesOfParts>
    <vt:vector size="23" baseType="lpstr">
      <vt:lpstr>All</vt:lpstr>
      <vt:lpstr>All - Tutorial</vt:lpstr>
      <vt:lpstr>BS Easy</vt:lpstr>
      <vt:lpstr>BS Medium</vt:lpstr>
      <vt:lpstr>BS Hard</vt:lpstr>
      <vt:lpstr>IS Easy</vt:lpstr>
      <vt:lpstr>IS Medium</vt:lpstr>
      <vt:lpstr>IS Hard</vt:lpstr>
      <vt:lpstr>Normal Balance - All</vt:lpstr>
      <vt:lpstr>Normal Balance Easy</vt:lpstr>
      <vt:lpstr>Normal Balance Medium</vt:lpstr>
      <vt:lpstr>Normal Balance Hard</vt:lpstr>
      <vt:lpstr>A=L+SE - Easy</vt:lpstr>
      <vt:lpstr>A=L+SE - Medium</vt:lpstr>
      <vt:lpstr>A=L+SE - Hard</vt:lpstr>
      <vt:lpstr>All!Print_Area</vt:lpstr>
      <vt:lpstr>'All - Tutorial'!Print_Area</vt:lpstr>
      <vt:lpstr>'BS Easy'!Print_Area</vt:lpstr>
      <vt:lpstr>'BS Hard'!Print_Area</vt:lpstr>
      <vt:lpstr>'BS Medium'!Print_Area</vt:lpstr>
      <vt:lpstr>'IS Easy'!Print_Area</vt:lpstr>
      <vt:lpstr>'IS Hard'!Print_Area</vt:lpstr>
      <vt:lpstr>'IS Medium'!Print_Area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 Warren</dc:creator>
  <cp:keywords/>
  <dc:description/>
  <cp:lastModifiedBy>Sarah Sessions</cp:lastModifiedBy>
  <cp:revision/>
  <dcterms:created xsi:type="dcterms:W3CDTF">2024-12-11T18:57:19Z</dcterms:created>
  <dcterms:modified xsi:type="dcterms:W3CDTF">2026-02-26T00:47:17Z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0x0101009AA8A71A87AA11429A024FE38DBCFB28</vt:lpwstr>
  </property>
</Properties>
</file>